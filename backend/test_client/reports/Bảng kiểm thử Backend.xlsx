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Dashboard" sheetId="1" state="visible" r:id="rId1"/>
    <sheet name="Test Cas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Arial"/>
      <family val="2"/>
      <color theme="1"/>
      <sz val="11"/>
      <scheme val="minor"/>
    </font>
    <font>
      <name val="Segoe UI"/>
      <b val="1"/>
      <color rgb="FF1F4E78"/>
      <sz val="15"/>
    </font>
    <font>
      <name val="Segoe UI"/>
      <b val="1"/>
      <color rgb="FF2F5597"/>
      <sz val="11"/>
    </font>
    <font>
      <name val="Segoe UI"/>
      <i val="1"/>
      <color rgb="FF595959"/>
      <sz val="9"/>
    </font>
    <font>
      <name val="Segoe UI"/>
      <b val="1"/>
      <sz val="10"/>
    </font>
    <font>
      <name val="Segoe UI"/>
      <sz val="9"/>
    </font>
    <font>
      <name val="Segoe UI"/>
      <b val="1"/>
      <color rgb="FF1F4E78"/>
      <sz val="18"/>
    </font>
    <font>
      <name val="Segoe UI"/>
      <b val="1"/>
      <color rgb="FF595959"/>
      <sz val="9"/>
    </font>
    <font>
      <name val="Segoe UI"/>
      <b val="1"/>
      <color rgb="FFFFFFFF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</fills>
  <borders count="11">
    <border>
      <left/>
      <right/>
      <top/>
      <bottom/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1F4E78"/>
      </left>
      <right style="thin">
        <color rgb="FF1F4E78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8" fillId="4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name val="Segoe UI"/>
        <b val="1"/>
        <color rgb="FF595959"/>
        <sz val="9"/>
      </font>
      <fill>
        <patternFill patternType="solid">
          <fgColor rgb="FFF2F2F2"/>
          <bgColor rgb="FFF2F2F2"/>
        </patternFill>
      </fill>
    </dxf>
    <dxf>
      <font>
        <name val="Segoe UI"/>
        <b val="1"/>
        <color rgb="FFB25900"/>
        <sz val="9"/>
      </font>
      <fill>
        <patternFill patternType="solid">
          <fgColor rgb="FFFFF2CC"/>
          <bgColor rgb="FFFFF2CC"/>
        </patternFill>
      </fill>
    </dxf>
    <dxf>
      <font>
        <name val="Segoe UI"/>
        <b val="1"/>
        <color rgb="FFC65911"/>
        <sz val="9"/>
      </font>
      <fill>
        <patternFill patternType="solid">
          <fgColor rgb="FFFCE4D6"/>
          <bgColor rgb="FFFCE4D6"/>
        </patternFill>
      </fill>
    </dxf>
    <dxf>
      <font>
        <name val="Segoe UI"/>
        <b val="1"/>
        <color rgb="FF276A3C"/>
        <sz val="9"/>
      </font>
      <fill>
        <patternFill patternType="solid">
          <fgColor rgb="FFE2EFDA"/>
          <b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0"/>
  <sheetViews>
    <sheetView workbookViewId="0">
      <selection activeCell="A1" sqref="A1"/>
    </sheetView>
  </sheetViews>
  <sheetFormatPr baseColWidth="8" defaultRowHeight="14"/>
  <cols>
    <col width="4" customWidth="1" style="19" min="1" max="1"/>
    <col width="12" customWidth="1" style="19" min="2" max="2"/>
    <col width="16" customWidth="1" style="19" min="3" max="3"/>
    <col width="38" customWidth="1" style="19" min="4" max="4"/>
    <col width="18" customWidth="1" style="19" min="5" max="5"/>
    <col width="12" customWidth="1" style="19" min="6" max="9"/>
    <col width="14" customWidth="1" style="19" min="10" max="10"/>
    <col width="18" customWidth="1" style="19" min="11" max="11"/>
  </cols>
  <sheetData>
    <row r="1" ht="25" customHeight="1" s="19"/>
    <row r="2" ht="28" customHeight="1" s="19">
      <c r="B2" s="1" t="inlineStr">
        <is>
          <t>HỆ THỐNG KIỂM THỬ BACKEND TỰ ĐỘNG (API AUTOMATION TEST REPORT)</t>
        </is>
      </c>
    </row>
    <row r="3" ht="16.5" customHeight="1" s="19">
      <c r="B3" s="2" t="inlineStr">
        <is>
          <t>BÁO CÁO KẾT QUẢ KIỂM THỬ CHUẨN DOANH NGHIỆP (LIÊN KẾT SỐ LIỆU ĐỘNG)</t>
        </is>
      </c>
    </row>
    <row r="4" ht="15" customHeight="1" s="19">
      <c r="B4" s="3" t="inlineStr">
        <is>
          <t>Dữ liệu tự động cập nhật theo thời gian thực khi Tester / AI Agent thực thi kiểm thử</t>
        </is>
      </c>
    </row>
    <row r="6" ht="16" customHeight="1" s="19">
      <c r="B6" s="20" t="inlineStr">
        <is>
          <t>Phân hệ kiểm thử:</t>
        </is>
      </c>
      <c r="D6" s="18" t="inlineStr">
        <is>
          <t>Sprint 1: Phân hệ Tài khoản, Phân quyền &amp; Quản trị người dùng</t>
        </is>
      </c>
    </row>
    <row r="7" ht="16" customHeight="1" s="19">
      <c r="B7" s="20" t="inlineStr">
        <is>
          <t>Người thực hiện kiểm thử (Tester):</t>
        </is>
      </c>
      <c r="D7" s="18" t="inlineStr">
        <is>
          <t>Automation QA / AI Agent</t>
        </is>
      </c>
    </row>
    <row r="8" ht="16" customHeight="1" s="19">
      <c r="B8" s="20" t="inlineStr">
        <is>
          <t>Nhà phát triển phụ trách (Dev):</t>
        </is>
      </c>
      <c r="D8" s="18" t="inlineStr">
        <is>
          <t>Đội ngũ Backend</t>
        </is>
      </c>
    </row>
    <row r="9" ht="16" customHeight="1" s="19">
      <c r="B9" s="20" t="inlineStr">
        <is>
          <t>Môi trường kiểm thử:</t>
        </is>
      </c>
      <c r="D9" s="18" t="inlineStr">
        <is>
          <t>Localhost (FastAPI / In-Memory &amp; Live Server)</t>
        </is>
      </c>
    </row>
    <row r="10" ht="16" customHeight="1" s="19">
      <c r="B10" s="20" t="inlineStr">
        <is>
          <t>Thời gian thực hiện:</t>
        </is>
      </c>
      <c r="D10" s="18" t="inlineStr">
        <is>
          <t>06/10/2026 20:42:47</t>
        </is>
      </c>
    </row>
    <row r="11" ht="16" customHeight="1" s="19">
      <c r="B11" s="20" t="inlineStr">
        <is>
          <t>Phạm vi kiểm thử:</t>
        </is>
      </c>
      <c r="D11" s="18" t="inlineStr">
        <is>
          <t>Toàn bộ 10 User Stories (S1-01 -&gt; S1-10) - LIVE API</t>
        </is>
      </c>
    </row>
    <row r="13" ht="26" customHeight="1" s="19">
      <c r="B13" s="21">
        <f>COUNTA('Test Cases'!D3:D1000)</f>
        <v/>
      </c>
      <c r="D13" s="21">
        <f>COUNTIF('Test Cases'!L3:L1000, "PASS")</f>
        <v/>
      </c>
      <c r="F13" s="21">
        <f>COUNTIF('Test Cases'!L3:L1000, "FAIL")</f>
        <v/>
      </c>
      <c r="H13" s="23">
        <f>IF(B13&gt;0, D13/B13, 0)</f>
        <v/>
      </c>
      <c r="J13" s="21">
        <f>COUNTIF('Test Cases'!L3:L1000, "BLOCKED") + COUNTIF('Test Cases'!L3:L1000, "NOT RUN")</f>
        <v/>
      </c>
    </row>
    <row r="14">
      <c r="B14" s="22" t="inlineStr">
        <is>
          <t>TỔNG TEST CASES</t>
        </is>
      </c>
      <c r="D14" s="22" t="inlineStr">
        <is>
          <t>ĐÃ ĐẠT (PASS)</t>
        </is>
      </c>
      <c r="F14" s="22" t="inlineStr">
        <is>
          <t>THẤT BẠI (FAIL)</t>
        </is>
      </c>
      <c r="H14" s="22" t="inlineStr">
        <is>
          <t>TỶ LỆ ĐẠT (PASS RATE)</t>
        </is>
      </c>
      <c r="J14" s="22" t="inlineStr">
        <is>
          <t>BLOCKED / NOT RUN</t>
        </is>
      </c>
    </row>
    <row r="17" ht="16" customHeight="1" s="19">
      <c r="B17" s="20" t="inlineStr">
        <is>
          <t>THỐNG KÊ LỖI PHẦN MỀM (LIÊN KẾT VỚI SHEET 'DEFECT LOG')</t>
        </is>
      </c>
    </row>
    <row r="19" ht="26" customHeight="1" s="19">
      <c r="B19" s="21">
        <f>COUNTA(#REF!)</f>
        <v/>
      </c>
      <c r="D19" s="21">
        <f>COUNTIF(#REF!, "OPEN") + COUNTIF(#REF!, "IN PROGRESS") + COUNTIF(#REF!, "REOPENED")</f>
        <v/>
      </c>
      <c r="G19" s="21">
        <f>COUNTIF(#REF!, "CLOSED") + COUNTIF(#REF!, "RESOLVED")</f>
        <v/>
      </c>
      <c r="J19" s="23">
        <f>IF(B19&gt;0, G19/B19, 1)</f>
        <v/>
      </c>
    </row>
    <row r="20">
      <c r="B20" s="22" t="inlineStr">
        <is>
          <t>TỔNG SỐ BUG GHI NHẬN</t>
        </is>
      </c>
      <c r="D20" s="22" t="inlineStr">
        <is>
          <t>BUG ĐANG MỞ (OPEN/IN PROGRESS)</t>
        </is>
      </c>
      <c r="G20" s="22" t="inlineStr">
        <is>
          <t>BUG ĐÃ ĐÓNG (CLOSED/RESOLVED)</t>
        </is>
      </c>
      <c r="J20" s="22" t="inlineStr">
        <is>
          <t>TỶ LỆ GIẢI QUYẾT</t>
        </is>
      </c>
    </row>
  </sheetData>
  <mergeCells count="30">
    <mergeCell ref="D11:F11"/>
    <mergeCell ref="B7:C7"/>
    <mergeCell ref="G19:I19"/>
    <mergeCell ref="J14:K14"/>
    <mergeCell ref="J19:K19"/>
    <mergeCell ref="D7:F7"/>
    <mergeCell ref="J13:K13"/>
    <mergeCell ref="B11:C11"/>
    <mergeCell ref="D13:E13"/>
    <mergeCell ref="D9:F9"/>
    <mergeCell ref="B14:C14"/>
    <mergeCell ref="G20:I20"/>
    <mergeCell ref="D8:F8"/>
    <mergeCell ref="B8:C8"/>
    <mergeCell ref="B13:C13"/>
    <mergeCell ref="J20:K20"/>
    <mergeCell ref="B19:C19"/>
    <mergeCell ref="B10:C10"/>
    <mergeCell ref="F13:G13"/>
    <mergeCell ref="B9:C9"/>
    <mergeCell ref="H13:I13"/>
    <mergeCell ref="D20:F20"/>
    <mergeCell ref="D10:F10"/>
    <mergeCell ref="B6:C6"/>
    <mergeCell ref="D19:F19"/>
    <mergeCell ref="B20:C20"/>
    <mergeCell ref="D14:E14"/>
    <mergeCell ref="F14:G14"/>
    <mergeCell ref="H14:I14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tabSelected="1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/>
  <cols>
    <col width="6" customWidth="1" style="19" min="1" max="1"/>
    <col width="12" customWidth="1" style="19" min="2" max="2"/>
    <col width="14" customWidth="1" style="19" min="3" max="4"/>
    <col width="35" customWidth="1" style="19" min="5" max="5"/>
    <col width="14" customWidth="1" style="19" min="6" max="7"/>
    <col width="38" customWidth="1" style="19" min="8" max="8"/>
    <col width="35" customWidth="1" style="19" min="9" max="9"/>
    <col width="42" customWidth="1" style="19" min="10" max="10"/>
    <col width="35" customWidth="1" style="19" min="11" max="11"/>
    <col width="16" customWidth="1" style="19" min="12" max="12"/>
    <col width="18" customWidth="1" style="19" min="13" max="13"/>
    <col width="30" customWidth="1" style="19" min="14" max="14"/>
  </cols>
  <sheetData>
    <row r="1" ht="25" customHeight="1" s="19">
      <c r="A1" s="1" t="inlineStr">
        <is>
          <t>DANH SÁCH CHI TIẾT KỊCH BẢN KIỂM THỬ BACKEND API (TEST CASES MATRIX)</t>
        </is>
      </c>
    </row>
    <row r="2" ht="28" customHeight="1" s="19">
      <c r="A2" s="24" t="inlineStr">
        <is>
          <t>STT</t>
        </is>
      </c>
      <c r="B2" s="24" t="inlineStr">
        <is>
          <t>Mã Gói</t>
        </is>
      </c>
      <c r="C2" s="24" t="inlineStr">
        <is>
          <t>Story ID</t>
        </is>
      </c>
      <c r="D2" s="24" t="inlineStr">
        <is>
          <t>Mã Test Case</t>
        </is>
      </c>
      <c r="E2" s="24" t="inlineStr">
        <is>
          <t>Tên Kịch Bản Kiểm Thử</t>
        </is>
      </c>
      <c r="F2" s="24" t="inlineStr">
        <is>
          <t>Mức Ưu Tiên</t>
        </is>
      </c>
      <c r="G2" s="24" t="inlineStr">
        <is>
          <t>Loại Test</t>
        </is>
      </c>
      <c r="H2" s="24" t="inlineStr">
        <is>
          <t>Endpoint &amp; Method</t>
        </is>
      </c>
      <c r="I2" s="24" t="inlineStr">
        <is>
          <t>Dữ Liệu Đầu Vào (Payload)</t>
        </is>
      </c>
      <c r="J2" s="24" t="inlineStr">
        <is>
          <t>Kết Quả Mong Đợi (Expected)</t>
        </is>
      </c>
      <c r="K2" s="24" t="inlineStr">
        <is>
          <t>Kết Quả Thực Tế (Actual)</t>
        </is>
      </c>
      <c r="L2" s="24" t="inlineStr">
        <is>
          <t>Trạng Thái</t>
        </is>
      </c>
      <c r="M2" s="24" t="inlineStr">
        <is>
          <t>Người Test</t>
        </is>
      </c>
      <c r="N2" s="24" t="inlineStr">
        <is>
          <t>Ghi Chú Nghiệp Vụ</t>
        </is>
      </c>
    </row>
    <row r="3" ht="24" customHeight="1" s="19">
      <c r="A3" s="25" t="n">
        <v>1</v>
      </c>
      <c r="B3" s="25" t="inlineStr">
        <is>
          <t>PKG-01</t>
        </is>
      </c>
      <c r="C3" s="25" t="inlineStr">
        <is>
          <t>S1-01</t>
        </is>
      </c>
      <c r="D3" s="25" t="inlineStr">
        <is>
          <t>TC-AUTH-01</t>
        </is>
      </c>
      <c r="E3" s="26" t="inlineStr">
        <is>
          <t>Bắt lỗi thiếu trường bắt buộc khi đăng nhập</t>
        </is>
      </c>
      <c r="F3" s="25" t="inlineStr">
        <is>
          <t>Critical</t>
        </is>
      </c>
      <c r="G3" s="25" t="inlineStr">
        <is>
          <t>Validation</t>
        </is>
      </c>
      <c r="H3" s="26" t="inlineStr">
        <is>
          <t>POST /api/v1/auth/login</t>
        </is>
      </c>
      <c r="I3" s="26" t="inlineStr">
        <is>
          <t>{}</t>
        </is>
      </c>
      <c r="J3" s="26" t="inlineStr">
        <is>
          <t>HTTP 422 Unprocessable Entity - Báo lỗi thiếu username và password</t>
        </is>
      </c>
      <c r="K3" s="26" t="inlineStr">
        <is>
          <t>[LIVE API] Đạt yêu cầu nghiệp vụ - Status: PASS (HTTP 422 Unprocessable Entity chuẩn Pydantic schema)</t>
        </is>
      </c>
      <c r="L3" s="25" t="inlineStr">
        <is>
          <t>PASS</t>
        </is>
      </c>
      <c r="M3" s="27" t="inlineStr">
        <is>
          <t>Automation QA / AI Agent</t>
        </is>
      </c>
      <c r="N3" s="26" t="inlineStr">
        <is>
          <t>Kiểm tra ràng buộc dữ liệu đầu vào theo Pydantic schema</t>
        </is>
      </c>
    </row>
    <row r="4" ht="24" customHeight="1" s="19">
      <c r="A4" s="28" t="n">
        <v>2</v>
      </c>
      <c r="B4" s="28" t="inlineStr">
        <is>
          <t>PKG-01</t>
        </is>
      </c>
      <c r="C4" s="28" t="inlineStr">
        <is>
          <t>S1-01</t>
        </is>
      </c>
      <c r="D4" s="28" t="inlineStr">
        <is>
          <t>TC-AUTH-02</t>
        </is>
      </c>
      <c r="E4" s="29" t="inlineStr">
        <is>
          <t>Đăng nhập với tài khoản không tồn tại trong hệ thống</t>
        </is>
      </c>
      <c r="F4" s="28" t="inlineStr">
        <is>
          <t>High</t>
        </is>
      </c>
      <c r="G4" s="28" t="inlineStr">
        <is>
          <t>Security</t>
        </is>
      </c>
      <c r="H4" s="29" t="inlineStr">
        <is>
          <t>POST /api/v1/auth/login</t>
        </is>
      </c>
      <c r="I4" s="29" t="inlineStr">
        <is>
          <t>{"username": "non_existent_user_999", "password": "WrongPassword@123"}</t>
        </is>
      </c>
      <c r="J4" s="29" t="inlineStr">
        <is>
          <t>HTTP 401 Unauthorized - Thông báo chung 'Tên đăng nhập hoặc mật khẩu không chính xác.'</t>
        </is>
      </c>
      <c r="K4" s="29" t="inlineStr">
        <is>
          <t>[LIVE API] Đạt yêu cầu nghiệp vụ - Status: PASS (HTTP 401 - Thông báo chung an toàn: Tên đăng nhập hoặc mật khẩu không chính xác.)</t>
        </is>
      </c>
      <c r="L4" s="28" t="inlineStr">
        <is>
          <t>PASS</t>
        </is>
      </c>
      <c r="M4" s="30" t="inlineStr">
        <is>
          <t>Automation QA / AI Agent</t>
        </is>
      </c>
      <c r="N4" s="29" t="inlineStr">
        <is>
          <t>Chống kỹ thuật User Enumeration Attack, không tiết lộ tài khoản tồn tại</t>
        </is>
      </c>
    </row>
    <row r="5" ht="24" customHeight="1" s="19">
      <c r="A5" s="28" t="n">
        <v>3</v>
      </c>
      <c r="B5" s="28" t="inlineStr">
        <is>
          <t>PKG-01</t>
        </is>
      </c>
      <c r="C5" s="28" t="inlineStr">
        <is>
          <t>S1-01</t>
        </is>
      </c>
      <c r="D5" s="28" t="inlineStr">
        <is>
          <t>TC-AUTH-03</t>
        </is>
      </c>
      <c r="E5" s="29" t="inlineStr">
        <is>
          <t>Đăng nhập đúng tài khoản nhưng sai mật khẩu</t>
        </is>
      </c>
      <c r="F5" s="28" t="inlineStr">
        <is>
          <t>Critical</t>
        </is>
      </c>
      <c r="G5" s="28" t="inlineStr">
        <is>
          <t>Security</t>
        </is>
      </c>
      <c r="H5" s="29" t="inlineStr">
        <is>
          <t>POST /api/v1/auth/login</t>
        </is>
      </c>
      <c r="I5" s="29" t="inlineStr">
        <is>
          <t>{"username": "sales_mgr", "password": "WrongPassword@123"}</t>
        </is>
      </c>
      <c r="J5" s="29" t="inlineStr">
        <is>
          <t>HTTP 401 Unauthorized - Thông báo chung 'Tên đăng nhập hoặc mật khẩu không chính xác.'</t>
        </is>
      </c>
      <c r="K5" s="29" t="inlineStr">
        <is>
          <t>[LIVE API] Đạt yêu cầu nghiệp vụ - Status: PASS (HTTP 401 - Thông báo: Tên đăng nhập hoặc mật khẩu không chính xác.)</t>
        </is>
      </c>
      <c r="L5" s="28" t="inlineStr">
        <is>
          <t>PASS</t>
        </is>
      </c>
      <c r="M5" s="30" t="inlineStr">
        <is>
          <t>Automation QA / AI Agent</t>
        </is>
      </c>
      <c r="N5" s="29" t="inlineStr">
        <is>
          <t>Tăng số lần đăng nhập sai (failed_login_attempts)</t>
        </is>
      </c>
    </row>
    <row r="6" ht="24" customHeight="1" s="19">
      <c r="A6" s="28" t="n">
        <v>4</v>
      </c>
      <c r="B6" s="28" t="inlineStr">
        <is>
          <t>PKG-01</t>
        </is>
      </c>
      <c r="C6" s="28" t="inlineStr">
        <is>
          <t>S1-01</t>
        </is>
      </c>
      <c r="D6" s="28" t="inlineStr">
        <is>
          <t>TC-AUTH-04</t>
        </is>
      </c>
      <c r="E6" s="29" t="inlineStr">
        <is>
          <t>Khóa tạm thời 15 phút sau 5 lần nhập sai liên tiếp</t>
        </is>
      </c>
      <c r="F6" s="28" t="inlineStr">
        <is>
          <t>Critical</t>
        </is>
      </c>
      <c r="G6" s="28" t="inlineStr">
        <is>
          <t>Security</t>
        </is>
      </c>
      <c r="H6" s="29" t="inlineStr">
        <is>
          <t>POST /api/v1/auth/login</t>
        </is>
      </c>
      <c r="I6" s="29" t="inlineStr">
        <is>
          <t>{"username": "TEST_TMP_LOCK_USER", "password": "WrongPassword@123"}</t>
        </is>
      </c>
      <c r="J6" s="29" t="inlineStr">
        <is>
          <t>HTTP 403 Forbidden - Thông báo 'Tài khoản tạm thời bị khóa trong 15 phút do nhập sai nhiều lần.'</t>
        </is>
      </c>
      <c r="K6" s="29" t="inlineStr">
        <is>
          <t>[LIVE API] Đạt yêu cầu nghiệp vụ - Status: PASS (HTTP 403 - Thông báo: Tài khoản tạm thời bị khóa trong 15 phút do nhập sai nhiều lần.)</t>
        </is>
      </c>
      <c r="L6" s="28" t="inlineStr">
        <is>
          <t>PASS</t>
        </is>
      </c>
      <c r="M6" s="30" t="inlineStr">
        <is>
          <t>Automation QA / AI Agent</t>
        </is>
      </c>
      <c r="N6" s="29" t="inlineStr">
        <is>
          <t>SCRUM-287: Khóa 15 phút sau 5 lần sai liên tiếp</t>
        </is>
      </c>
    </row>
    <row r="7" ht="24" customHeight="1" s="19">
      <c r="A7" s="28" t="n">
        <v>5</v>
      </c>
      <c r="B7" s="28" t="inlineStr">
        <is>
          <t>PKG-01</t>
        </is>
      </c>
      <c r="C7" s="28" t="inlineStr">
        <is>
          <t>S1-01</t>
        </is>
      </c>
      <c r="D7" s="28" t="inlineStr">
        <is>
          <t>TC-AUTH-05</t>
        </is>
      </c>
      <c r="E7" s="29" t="inlineStr">
        <is>
          <t>Đăng nhập thành công với tài khoản Quản trị hệ thống (Admin)</t>
        </is>
      </c>
      <c r="F7" s="28" t="inlineStr">
        <is>
          <t>Critical</t>
        </is>
      </c>
      <c r="G7" s="28" t="inlineStr">
        <is>
          <t>Functional</t>
        </is>
      </c>
      <c r="H7" s="29" t="inlineStr">
        <is>
          <t>POST /api/v1/auth/login</t>
        </is>
      </c>
      <c r="I7" s="29" t="inlineStr">
        <is>
          <t>{"username": "admin", "password": "Admin@123456"}</t>
        </is>
      </c>
      <c r="J7" s="29" t="inlineStr">
        <is>
          <t>HTTP 200 OK - Trả về access_token JWT Bearer và role Admin</t>
        </is>
      </c>
      <c r="K7" s="29" t="inlineStr">
        <is>
          <t>[LIVE API] Đạt yêu cầu nghiệp vụ - Status: PASS (HTTP 200 - Role: Admin, Token type: bearer)</t>
        </is>
      </c>
      <c r="L7" s="28" t="inlineStr">
        <is>
          <t>PASS</t>
        </is>
      </c>
      <c r="M7" s="30" t="inlineStr">
        <is>
          <t>Automation QA / AI Agent</t>
        </is>
      </c>
      <c r="N7" s="29" t="inlineStr">
        <is>
          <t>Xác thực vai trò Quản trị hệ thống</t>
        </is>
      </c>
    </row>
    <row r="8" ht="24" customHeight="1" s="19">
      <c r="A8" s="28" t="n">
        <v>6</v>
      </c>
      <c r="B8" s="28" t="inlineStr">
        <is>
          <t>PKG-01</t>
        </is>
      </c>
      <c r="C8" s="28" t="inlineStr">
        <is>
          <t>S1-01</t>
        </is>
      </c>
      <c r="D8" s="28" t="inlineStr">
        <is>
          <t>TC-AUTH-06</t>
        </is>
      </c>
      <c r="E8" s="29" t="inlineStr">
        <is>
          <t>Đăng nhập thành công với tài khoản Quản lý kinh doanh (Sales Manager)</t>
        </is>
      </c>
      <c r="F8" s="28" t="inlineStr">
        <is>
          <t>High</t>
        </is>
      </c>
      <c r="G8" s="28" t="inlineStr">
        <is>
          <t>Functional</t>
        </is>
      </c>
      <c r="H8" s="29" t="inlineStr">
        <is>
          <t>POST /api/v1/auth/login</t>
        </is>
      </c>
      <c r="I8" s="29" t="inlineStr">
        <is>
          <t>{"username": "sales_mgr", "password": "SalesMgr@1234"}</t>
        </is>
      </c>
      <c r="J8" s="29" t="inlineStr">
        <is>
          <t>HTTP 200 OK - Trả về access_token và role Sales Manager</t>
        </is>
      </c>
      <c r="K8" s="29" t="inlineStr">
        <is>
          <t>[LIVE API] Đạt yêu cầu nghiệp vụ - Status: PASS (HTTP 200 - Role: Sales Manager)</t>
        </is>
      </c>
      <c r="L8" s="28" t="inlineStr">
        <is>
          <t>PASS</t>
        </is>
      </c>
      <c r="M8" s="30" t="inlineStr">
        <is>
          <t>Automation QA / AI Agent</t>
        </is>
      </c>
      <c r="N8" s="29" t="inlineStr">
        <is>
          <t>Xác thực vai trò Quản lý kinh doanh</t>
        </is>
      </c>
    </row>
    <row r="9" ht="24" customHeight="1" s="19">
      <c r="A9" s="31" t="n">
        <v>7</v>
      </c>
      <c r="B9" s="31" t="inlineStr">
        <is>
          <t>PKG-01</t>
        </is>
      </c>
      <c r="C9" s="31" t="inlineStr">
        <is>
          <t>S1-01</t>
        </is>
      </c>
      <c r="D9" s="31" t="inlineStr">
        <is>
          <t>TC-AUTH-07</t>
        </is>
      </c>
      <c r="E9" s="32" t="inlineStr">
        <is>
          <t>Đăng nhập thành công với tài khoản Đại lý (Customer)</t>
        </is>
      </c>
      <c r="F9" s="31" t="inlineStr">
        <is>
          <t>High</t>
        </is>
      </c>
      <c r="G9" s="31" t="inlineStr">
        <is>
          <t>Functional</t>
        </is>
      </c>
      <c r="H9" s="32" t="inlineStr">
        <is>
          <t>POST /api/v1/auth/login</t>
        </is>
      </c>
      <c r="I9" s="32" t="inlineStr">
        <is>
          <t>{"username": "customer", "password": "Customer@1234"}</t>
        </is>
      </c>
      <c r="J9" s="32" t="inlineStr">
        <is>
          <t>HTTP 200 OK - Trả về access_token và role Customer</t>
        </is>
      </c>
      <c r="K9" s="32" t="inlineStr">
        <is>
          <t>[LIVE API] Đạt yêu cầu nghiệp vụ - Status: PASS (HTTP 200 - Role: Customer)</t>
        </is>
      </c>
      <c r="L9" s="31" t="inlineStr">
        <is>
          <t>PASS</t>
        </is>
      </c>
      <c r="M9" s="33" t="inlineStr">
        <is>
          <t>Automation QA / AI Agent</t>
        </is>
      </c>
      <c r="N9" s="32" t="inlineStr">
        <is>
          <t>Xác thực vai trò Đại lý / Khách hàng</t>
        </is>
      </c>
    </row>
    <row r="10" ht="24" customHeight="1" s="19">
      <c r="A10" s="25" t="n">
        <v>8</v>
      </c>
      <c r="B10" s="25" t="inlineStr">
        <is>
          <t>PKG-02</t>
        </is>
      </c>
      <c r="C10" s="25" t="inlineStr">
        <is>
          <t>S1-02</t>
        </is>
      </c>
      <c r="D10" s="25" t="inlineStr">
        <is>
          <t>TC-SESS-01</t>
        </is>
      </c>
      <c r="E10" s="26" t="inlineStr">
        <is>
          <t>Gia hạn phiên khi không truyền Authorization Bearer header</t>
        </is>
      </c>
      <c r="F10" s="25" t="inlineStr">
        <is>
          <t>Medium</t>
        </is>
      </c>
      <c r="G10" s="25" t="inlineStr">
        <is>
          <t>Security</t>
        </is>
      </c>
      <c r="H10" s="26" t="inlineStr">
        <is>
          <t>POST /api/v1/auth/refresh</t>
        </is>
      </c>
      <c r="I10" s="26" t="inlineStr">
        <is>
          <t>None</t>
        </is>
      </c>
      <c r="J10" s="26" t="inlineStr">
        <is>
          <t>HTTP 401 Unauthorized - Từ chối khi không có token</t>
        </is>
      </c>
      <c r="K10" s="26" t="inlineStr">
        <is>
          <t>[LIVE API] Đạt yêu cầu nghiệp vụ - Status: PASS (HTTP 401 - Từ chối khi không có token Bearer)</t>
        </is>
      </c>
      <c r="L10" s="25" t="inlineStr">
        <is>
          <t>PASS</t>
        </is>
      </c>
      <c r="M10" s="27" t="inlineStr">
        <is>
          <t>Automation QA / AI Agent</t>
        </is>
      </c>
      <c r="N10" s="26" t="inlineStr">
        <is>
          <t>Kiểm tra cơ chế Deny by default</t>
        </is>
      </c>
    </row>
    <row r="11" ht="24" customHeight="1" s="19">
      <c r="A11" s="31" t="n">
        <v>9</v>
      </c>
      <c r="B11" s="31" t="inlineStr">
        <is>
          <t>PKG-02</t>
        </is>
      </c>
      <c r="C11" s="31" t="inlineStr">
        <is>
          <t>S1-02</t>
        </is>
      </c>
      <c r="D11" s="31" t="inlineStr">
        <is>
          <t>TC-SESS-02</t>
        </is>
      </c>
      <c r="E11" s="32" t="inlineStr">
        <is>
          <t>Gia hạn phiên tự động thành công khi người dùng đang hoạt động</t>
        </is>
      </c>
      <c r="F11" s="31" t="inlineStr">
        <is>
          <t>High</t>
        </is>
      </c>
      <c r="G11" s="31" t="inlineStr">
        <is>
          <t>Functional</t>
        </is>
      </c>
      <c r="H11" s="32" t="inlineStr">
        <is>
          <t>POST /api/v1/auth/refresh</t>
        </is>
      </c>
      <c r="I11" s="32" t="inlineStr">
        <is>
          <t>Headers: Bearer &lt;token_hợp_lệ&gt;</t>
        </is>
      </c>
      <c r="J11" s="32" t="inlineStr">
        <is>
          <t>HTTP 200 OK - Trả về token mới và thông tin người dùng</t>
        </is>
      </c>
      <c r="K11" s="32" t="inlineStr">
        <is>
          <t>[LIVE API] Đạt yêu cầu nghiệp vụ - Status: PASS (HTTP 200 - Đã cấp token mới thành công)</t>
        </is>
      </c>
      <c r="L11" s="31" t="inlineStr">
        <is>
          <t>PASS</t>
        </is>
      </c>
      <c r="M11" s="33" t="inlineStr">
        <is>
          <t>Automation QA / AI Agent</t>
        </is>
      </c>
      <c r="N11" s="32" t="inlineStr">
        <is>
          <t>SCRUM-199: Phiên gia hạn tự động khi còn hiệu lực</t>
        </is>
      </c>
    </row>
    <row r="12" ht="24" customHeight="1" s="19">
      <c r="A12" s="34" t="n">
        <v>10</v>
      </c>
      <c r="B12" s="34" t="inlineStr">
        <is>
          <t>PKG-02</t>
        </is>
      </c>
      <c r="C12" s="34" t="inlineStr">
        <is>
          <t>S1-02</t>
        </is>
      </c>
      <c r="D12" s="34" t="inlineStr">
        <is>
          <t>TC-SESS-03</t>
        </is>
      </c>
      <c r="E12" s="35" t="inlineStr">
        <is>
          <t>Đăng xuất an toàn vô hiệu hóa phiên phía máy chủ</t>
        </is>
      </c>
      <c r="F12" s="34" t="inlineStr">
        <is>
          <t>High</t>
        </is>
      </c>
      <c r="G12" s="34" t="inlineStr">
        <is>
          <t>Security</t>
        </is>
      </c>
      <c r="H12" s="35" t="inlineStr">
        <is>
          <t>POST /api/v1/auth/logout</t>
        </is>
      </c>
      <c r="I12" s="35" t="inlineStr">
        <is>
          <t>Headers: Bearer &lt;token_hợp_lệ&gt;</t>
        </is>
      </c>
      <c r="J12" s="35" t="inlineStr">
        <is>
          <t>HTTP 200 OK - 'Đăng xuất thành công. Phiên đăng nhập đã bị vô hiệu hóa phía máy chủ.'</t>
        </is>
      </c>
      <c r="K12" s="35" t="inlineStr">
        <is>
          <t>[LIVE API] Đạt yêu cầu nghiệp vụ - Status: PASS (HTTP 200 - Đăng xuất thành công. Phiên đăng nhập đã bị vô hiệu hóa phía máy chủ.)</t>
        </is>
      </c>
      <c r="L12" s="34" t="inlineStr">
        <is>
          <t>PASS</t>
        </is>
      </c>
      <c r="M12" s="36" t="inlineStr">
        <is>
          <t>Automation QA / AI Agent</t>
        </is>
      </c>
      <c r="N12" s="35" t="inlineStr">
        <is>
          <t>SCRUM-199: Server tăng token_version để hủy phiên ngay lập tức</t>
        </is>
      </c>
    </row>
    <row r="13" ht="24" customHeight="1" s="19">
      <c r="A13" s="25" t="n">
        <v>11</v>
      </c>
      <c r="B13" s="25" t="inlineStr">
        <is>
          <t>PKG-02</t>
        </is>
      </c>
      <c r="C13" s="25" t="inlineStr">
        <is>
          <t>S1-02</t>
        </is>
      </c>
      <c r="D13" s="25" t="inlineStr">
        <is>
          <t>TC-SESS-04</t>
        </is>
      </c>
      <c r="E13" s="26" t="inlineStr">
        <is>
          <t>Sử dụng lại token cũ sau khi đã đăng xuất bị từ chối</t>
        </is>
      </c>
      <c r="F13" s="25" t="inlineStr">
        <is>
          <t>Critical</t>
        </is>
      </c>
      <c r="G13" s="25" t="inlineStr">
        <is>
          <t>Security</t>
        </is>
      </c>
      <c r="H13" s="26" t="inlineStr">
        <is>
          <t>GET /api/v1/auth/me</t>
        </is>
      </c>
      <c r="I13" s="26" t="inlineStr">
        <is>
          <t>Headers: Bearer &lt;token_vừa_đăng_xuất&gt;</t>
        </is>
      </c>
      <c r="J13" s="26" t="inlineStr">
        <is>
          <t>HTTP 401 Unauthorized - 'Phiên đăng nhập đã bị thu hồi...'</t>
        </is>
      </c>
      <c r="K13" s="26" t="inlineStr">
        <is>
          <t>[LIVE API] Đạt yêu cầu nghiệp vụ - Status: PASS (HTTP 401 - Phiên cũ đã bị thu hồi lập tức)</t>
        </is>
      </c>
      <c r="L13" s="25" t="inlineStr">
        <is>
          <t>PASS</t>
        </is>
      </c>
      <c r="M13" s="27" t="inlineStr">
        <is>
          <t>Automation QA / AI Agent</t>
        </is>
      </c>
      <c r="N13" s="26" t="inlineStr">
        <is>
          <t>SCRUM-199: Chống tấn công Replay Attack bằng token cũ</t>
        </is>
      </c>
    </row>
    <row r="14" ht="24" customHeight="1" s="19">
      <c r="A14" s="28" t="n">
        <v>12</v>
      </c>
      <c r="B14" s="28" t="inlineStr">
        <is>
          <t>PKG-02</t>
        </is>
      </c>
      <c r="C14" s="28" t="inlineStr">
        <is>
          <t>S1-06</t>
        </is>
      </c>
      <c r="D14" s="28" t="inlineStr">
        <is>
          <t>TC-NAV-01</t>
        </is>
      </c>
      <c r="E14" s="29" t="inlineStr">
        <is>
          <t>Lấy thông tin người dùng đang đăng nhập khi không có token</t>
        </is>
      </c>
      <c r="F14" s="28" t="inlineStr">
        <is>
          <t>Medium</t>
        </is>
      </c>
      <c r="G14" s="28" t="inlineStr">
        <is>
          <t>Security</t>
        </is>
      </c>
      <c r="H14" s="29" t="inlineStr">
        <is>
          <t>GET /api/v1/auth/me</t>
        </is>
      </c>
      <c r="I14" s="29" t="inlineStr">
        <is>
          <t>None</t>
        </is>
      </c>
      <c r="J14" s="29" t="inlineStr">
        <is>
          <t>HTTP 401 Unauthorized - Yêu cầu xác thực</t>
        </is>
      </c>
      <c r="K14" s="29" t="inlineStr">
        <is>
          <t>[LIVE API] Đạt yêu cầu nghiệp vụ - Status: PASS (HTTP 401 - Yêu cầu xác thực)</t>
        </is>
      </c>
      <c r="L14" s="28" t="inlineStr">
        <is>
          <t>PASS</t>
        </is>
      </c>
      <c r="M14" s="30" t="inlineStr">
        <is>
          <t>Automation QA / AI Agent</t>
        </is>
      </c>
      <c r="N14" s="29" t="inlineStr">
        <is>
          <t>Bảo vệ endpoint thông tin cá nhân</t>
        </is>
      </c>
    </row>
    <row r="15" ht="24" customHeight="1" s="19">
      <c r="A15" s="31" t="n">
        <v>13</v>
      </c>
      <c r="B15" s="31" t="inlineStr">
        <is>
          <t>PKG-02</t>
        </is>
      </c>
      <c r="C15" s="31" t="inlineStr">
        <is>
          <t>S1-06</t>
        </is>
      </c>
      <c r="D15" s="31" t="inlineStr">
        <is>
          <t>TC-NAV-02</t>
        </is>
      </c>
      <c r="E15" s="32" t="inlineStr">
        <is>
          <t>Lấy thông tin người dùng hiển thị tên, vai trò và kho phụ trách</t>
        </is>
      </c>
      <c r="F15" s="31" t="inlineStr">
        <is>
          <t>High</t>
        </is>
      </c>
      <c r="G15" s="31" t="inlineStr">
        <is>
          <t>Functional</t>
        </is>
      </c>
      <c r="H15" s="32" t="inlineStr">
        <is>
          <t>GET /api/v1/auth/me</t>
        </is>
      </c>
      <c r="I15" s="32" t="inlineStr">
        <is>
          <t>Headers: Bearer &lt;token_thủ_kho&gt;</t>
        </is>
      </c>
      <c r="J15" s="32" t="inlineStr">
        <is>
          <t>HTTP 200 OK - Trả về full_name, role, assigned_warehouse</t>
        </is>
      </c>
      <c r="K15" s="32" t="inlineStr">
        <is>
          <t>[LIVE API] Đạt yêu cầu nghiệp vụ - Status: PASS (HTTP 200 - User: wh_mgr, Role: WH Manager, Kho: Kho Tổng Hà Nội)</t>
        </is>
      </c>
      <c r="L15" s="31" t="inlineStr">
        <is>
          <t>PASS</t>
        </is>
      </c>
      <c r="M15" s="33" t="inlineStr">
        <is>
          <t>Automation QA / AI Agent</t>
        </is>
      </c>
      <c r="N15" s="32" t="inlineStr">
        <is>
          <t>SCRUM-203: Hiển thị tên, vai trò và kho hoặc địa bàn đang làm việc</t>
        </is>
      </c>
    </row>
    <row r="16" ht="24" customHeight="1" s="19">
      <c r="A16" s="25" t="n">
        <v>14</v>
      </c>
      <c r="B16" s="25" t="inlineStr">
        <is>
          <t>PKG-03</t>
        </is>
      </c>
      <c r="C16" s="25" t="inlineStr">
        <is>
          <t>S1-03</t>
        </is>
      </c>
      <c r="D16" s="25" t="inlineStr">
        <is>
          <t>TC-PWD-01</t>
        </is>
      </c>
      <c r="E16" s="26" t="inlineStr">
        <is>
          <t>Quên mật khẩu: Kiểm tra email sai định dạng</t>
        </is>
      </c>
      <c r="F16" s="25" t="inlineStr">
        <is>
          <t>Medium</t>
        </is>
      </c>
      <c r="G16" s="25" t="inlineStr">
        <is>
          <t>Validation</t>
        </is>
      </c>
      <c r="H16" s="26" t="inlineStr">
        <is>
          <t>POST /api/v1/auth/forgot-password</t>
        </is>
      </c>
      <c r="I16" s="26" t="inlineStr">
        <is>
          <t>{"email": "not-an-email"}</t>
        </is>
      </c>
      <c r="J16" s="26" t="inlineStr">
        <is>
          <t>HTTP 422 Unprocessable Entity - Báo lỗi định dạng email</t>
        </is>
      </c>
      <c r="K16" s="26" t="inlineStr">
        <is>
          <t>[LIVE API] Đạt yêu cầu nghiệp vụ - Status: PASS (HTTP 422 - Bắt lỗi email format chuẩn Pydantic)</t>
        </is>
      </c>
      <c r="L16" s="25" t="inlineStr">
        <is>
          <t>PASS</t>
        </is>
      </c>
      <c r="M16" s="27" t="inlineStr">
        <is>
          <t>Automation QA / AI Agent</t>
        </is>
      </c>
      <c r="N16" s="26" t="inlineStr">
        <is>
          <t>Validate EmailStr bằng Pydantic</t>
        </is>
      </c>
    </row>
    <row r="17" ht="24" customHeight="1" s="19">
      <c r="A17" s="28" t="n">
        <v>15</v>
      </c>
      <c r="B17" s="28" t="inlineStr">
        <is>
          <t>PKG-03</t>
        </is>
      </c>
      <c r="C17" s="28" t="inlineStr">
        <is>
          <t>S1-03</t>
        </is>
      </c>
      <c r="D17" s="28" t="inlineStr">
        <is>
          <t>TC-PWD-02</t>
        </is>
      </c>
      <c r="E17" s="29" t="inlineStr">
        <is>
          <t>Quên mật khẩu: Email không tồn tại vẫn trả thông báo chung an toàn</t>
        </is>
      </c>
      <c r="F17" s="28" t="inlineStr">
        <is>
          <t>High</t>
        </is>
      </c>
      <c r="G17" s="28" t="inlineStr">
        <is>
          <t>Security</t>
        </is>
      </c>
      <c r="H17" s="29" t="inlineStr">
        <is>
          <t>POST /api/v1/auth/forgot-password</t>
        </is>
      </c>
      <c r="I17" s="29" t="inlineStr">
        <is>
          <t>{"email": "khong_ton_tai_999@warehouse.local"}</t>
        </is>
      </c>
      <c r="J17" s="29" t="inlineStr">
        <is>
          <t>HTTP 200 OK - Thông báo 'Nếu email tồn tại trong hệ thống, hướng dẫn đặt lại...'</t>
        </is>
      </c>
      <c r="K17" s="29" t="inlineStr">
        <is>
          <t>[LIVE API] Đạt yêu cầu nghiệp vụ - Status: PASS (HTTP 200 - Thông báo bảo mật không tiết lộ email)</t>
        </is>
      </c>
      <c r="L17" s="28" t="inlineStr">
        <is>
          <t>PASS</t>
        </is>
      </c>
      <c r="M17" s="30" t="inlineStr">
        <is>
          <t>Automation QA / AI Agent</t>
        </is>
      </c>
      <c r="N17" s="29" t="inlineStr">
        <is>
          <t>SCRUM-200: Email không tồn tại vẫn hiển thị cùng một thông báo</t>
        </is>
      </c>
    </row>
    <row r="18" ht="24" customHeight="1" s="19">
      <c r="A18" s="31" t="n">
        <v>16</v>
      </c>
      <c r="B18" s="31" t="inlineStr">
        <is>
          <t>PKG-03</t>
        </is>
      </c>
      <c r="C18" s="31" t="inlineStr">
        <is>
          <t>S1-03</t>
        </is>
      </c>
      <c r="D18" s="31" t="inlineStr">
        <is>
          <t>TC-PWD-03</t>
        </is>
      </c>
      <c r="E18" s="32" t="inlineStr">
        <is>
          <t>Quên mật khẩu: Yêu cầu đặt lại mật khẩu thành công với email hợp lệ</t>
        </is>
      </c>
      <c r="F18" s="31" t="inlineStr">
        <is>
          <t>High</t>
        </is>
      </c>
      <c r="G18" s="31" t="inlineStr">
        <is>
          <t>Functional</t>
        </is>
      </c>
      <c r="H18" s="32" t="inlineStr">
        <is>
          <t>POST /api/v1/auth/forgot-password</t>
        </is>
      </c>
      <c r="I18" s="32" t="inlineStr">
        <is>
          <t>{"email": "customer@warehouse.local"}</t>
        </is>
      </c>
      <c r="J18" s="32" t="inlineStr">
        <is>
          <t>HTTP 200 OK - Sinh token đặt lại có hiệu lực 30 phút trong DB</t>
        </is>
      </c>
      <c r="K18" s="32" t="inlineStr">
        <is>
          <t>[LIVE API] Đạt yêu cầu nghiệp vụ - Status: PASS (HTTP 200 - Đã tạo token trong DB, hiệu lực 30 phút)</t>
        </is>
      </c>
      <c r="L18" s="31" t="inlineStr">
        <is>
          <t>PASS</t>
        </is>
      </c>
      <c r="M18" s="33" t="inlineStr">
        <is>
          <t>Automation QA / AI Agent</t>
        </is>
      </c>
      <c r="N18" s="32" t="inlineStr">
        <is>
          <t>SCRUM-200: Nhập email nhận được liên kết đặt lại có hiệu lực 30 phút</t>
        </is>
      </c>
    </row>
    <row r="19" ht="24" customHeight="1" s="19">
      <c r="A19" s="25" t="n">
        <v>17</v>
      </c>
      <c r="B19" s="25" t="inlineStr">
        <is>
          <t>PKG-03</t>
        </is>
      </c>
      <c r="C19" s="25" t="inlineStr">
        <is>
          <t>S1-03</t>
        </is>
      </c>
      <c r="D19" s="25" t="inlineStr">
        <is>
          <t>TC-PWD-04</t>
        </is>
      </c>
      <c r="E19" s="26" t="inlineStr">
        <is>
          <t>Đặt lại mật khẩu: Sử dụng token không hợp lệ hoặc không tồn tại</t>
        </is>
      </c>
      <c r="F19" s="25" t="inlineStr">
        <is>
          <t>High</t>
        </is>
      </c>
      <c r="G19" s="25" t="inlineStr">
        <is>
          <t>Validation</t>
        </is>
      </c>
      <c r="H19" s="26" t="inlineStr">
        <is>
          <t>POST /api/v1/auth/reset-password</t>
        </is>
      </c>
      <c r="I19" s="26" t="inlineStr">
        <is>
          <t>{"token": "invalid_fake_token_123", "new_password": "NewPassword@123"}</t>
        </is>
      </c>
      <c r="J19" s="26" t="inlineStr">
        <is>
          <t>HTTP 400 Bad Request - 'Liên kết đặt lại mật khẩu không hợp lệ hoặc đã được sử dụng.'</t>
        </is>
      </c>
      <c r="K19" s="26" t="inlineStr">
        <is>
          <t>[LIVE API] Đạt yêu cầu nghiệp vụ - Status: PASS (HTTP 400 - Từ chối token không hợp lệ)</t>
        </is>
      </c>
      <c r="L19" s="25" t="inlineStr">
        <is>
          <t>PASS</t>
        </is>
      </c>
      <c r="M19" s="27" t="inlineStr">
        <is>
          <t>Automation QA / AI Agent</t>
        </is>
      </c>
      <c r="N19" s="26" t="inlineStr">
        <is>
          <t>Chặn token giả mạo</t>
        </is>
      </c>
    </row>
    <row r="20" ht="24" customHeight="1" s="19">
      <c r="A20" s="28" t="n">
        <v>18</v>
      </c>
      <c r="B20" s="28" t="inlineStr">
        <is>
          <t>PKG-03</t>
        </is>
      </c>
      <c r="C20" s="28" t="inlineStr">
        <is>
          <t>S1-03</t>
        </is>
      </c>
      <c r="D20" s="28" t="inlineStr">
        <is>
          <t>TC-PWD-05</t>
        </is>
      </c>
      <c r="E20" s="29" t="inlineStr">
        <is>
          <t>Đặt lại mật khẩu: Mật khẩu mới yếu (&lt; 8 ký tự hoặc thiếu số/chữ)</t>
        </is>
      </c>
      <c r="F20" s="28" t="inlineStr">
        <is>
          <t>High</t>
        </is>
      </c>
      <c r="G20" s="28" t="inlineStr">
        <is>
          <t>Validation</t>
        </is>
      </c>
      <c r="H20" s="29" t="inlineStr">
        <is>
          <t>POST /api/v1/auth/reset-password</t>
        </is>
      </c>
      <c r="I20" s="29" t="inlineStr">
        <is>
          <t>{"token": "valid_token", "new_password": "123"}</t>
        </is>
      </c>
      <c r="J20" s="29" t="inlineStr">
        <is>
          <t>HTTP 422 Unprocessable Entity - Bắt lỗi độ mạnh mật khẩu (tối thiểu 8 ký tự, có chữ và số)</t>
        </is>
      </c>
      <c r="K20" s="29" t="inlineStr">
        <is>
          <t>[LIVE API] Đạt yêu cầu nghiệp vụ - Status: PASS (HTTP 422 - Bắt lỗi độ mạnh mật khẩu)</t>
        </is>
      </c>
      <c r="L20" s="28" t="inlineStr">
        <is>
          <t>PASS</t>
        </is>
      </c>
      <c r="M20" s="30" t="inlineStr">
        <is>
          <t>Automation QA / AI Agent</t>
        </is>
      </c>
      <c r="N20" s="29" t="inlineStr">
        <is>
          <t>SCRUM-200 / SCRUM-307: Chính sách độ mạnh mật khẩu</t>
        </is>
      </c>
    </row>
    <row r="21" ht="24" customHeight="1" s="19">
      <c r="A21" s="28" t="n">
        <v>19</v>
      </c>
      <c r="B21" s="28" t="inlineStr">
        <is>
          <t>PKG-03</t>
        </is>
      </c>
      <c r="C21" s="28" t="inlineStr">
        <is>
          <t>S1-03</t>
        </is>
      </c>
      <c r="D21" s="28" t="inlineStr">
        <is>
          <t>TC-PWD-06</t>
        </is>
      </c>
      <c r="E21" s="29" t="inlineStr">
        <is>
          <t>Đặt lại mật khẩu thành công với token hợp lệ còn hạn 30 phút</t>
        </is>
      </c>
      <c r="F21" s="28" t="inlineStr">
        <is>
          <t>Critical</t>
        </is>
      </c>
      <c r="G21" s="28" t="inlineStr">
        <is>
          <t>Functional</t>
        </is>
      </c>
      <c r="H21" s="29" t="inlineStr">
        <is>
          <t>POST /api/v1/auth/reset-password</t>
        </is>
      </c>
      <c r="I21" s="29" t="inlineStr">
        <is>
          <t>{"token": "&lt;token_thật&gt;", "new_password": "NewResetPass@2026"}</t>
        </is>
      </c>
      <c r="J21" s="29" t="inlineStr">
        <is>
          <t>HTTP 200 OK - 'Đặt lại mật khẩu thành công. Vui lòng đăng nhập bằng mật khẩu mới.'</t>
        </is>
      </c>
      <c r="K21" s="29" t="inlineStr">
        <is>
          <t>[LIVE API] Đạt yêu cầu nghiệp vụ - Status: PASS (HTTP 200 - Đăng nhập lại với pass mới: HTTP 200)</t>
        </is>
      </c>
      <c r="L21" s="28" t="inlineStr">
        <is>
          <t>PASS</t>
        </is>
      </c>
      <c r="M21" s="30" t="inlineStr">
        <is>
          <t>Automation QA / AI Agent</t>
        </is>
      </c>
      <c r="N21" s="29" t="inlineStr">
        <is>
          <t>Cập nhật mật khẩu mới, hủy token và tăng token_version</t>
        </is>
      </c>
    </row>
    <row r="22" ht="24" customHeight="1" s="19">
      <c r="A22" s="31" t="n">
        <v>20</v>
      </c>
      <c r="B22" s="31" t="inlineStr">
        <is>
          <t>PKG-03</t>
        </is>
      </c>
      <c r="C22" s="31" t="inlineStr">
        <is>
          <t>S1-03</t>
        </is>
      </c>
      <c r="D22" s="31" t="inlineStr">
        <is>
          <t>TC-PWD-07</t>
        </is>
      </c>
      <c r="E22" s="32" t="inlineStr">
        <is>
          <t>Thử sử dụng lại token đặt lại mật khẩu lần 2 bị từ chối</t>
        </is>
      </c>
      <c r="F22" s="31" t="inlineStr">
        <is>
          <t>Critical</t>
        </is>
      </c>
      <c r="G22" s="31" t="inlineStr">
        <is>
          <t>Security</t>
        </is>
      </c>
      <c r="H22" s="32" t="inlineStr">
        <is>
          <t>POST /api/v1/auth/reset-password</t>
        </is>
      </c>
      <c r="I22" s="32" t="inlineStr">
        <is>
          <t>{"token": "&lt;token_vừa_dùng&gt;", "new_password": "AnotherPass@2026"}</t>
        </is>
      </c>
      <c r="J22" s="32" t="inlineStr">
        <is>
          <t>HTTP 400 Bad Request - 'Liên kết đặt lại mật khẩu không hợp lệ hoặc đã được sử dụng.'</t>
        </is>
      </c>
      <c r="K22" s="32" t="inlineStr">
        <is>
          <t>[LIVE API] Đạt yêu cầu nghiệp vụ - Status: PASS (HTTP 400 - Chặn tái sử dụng token thành công (One-time token))</t>
        </is>
      </c>
      <c r="L22" s="31" t="inlineStr">
        <is>
          <t>PASS</t>
        </is>
      </c>
      <c r="M22" s="33" t="inlineStr">
        <is>
          <t>Automation QA / AI Agent</t>
        </is>
      </c>
      <c r="N22" s="32" t="inlineStr">
        <is>
          <t>SCRUM-200: Liên kết chỉ dùng được một lần</t>
        </is>
      </c>
    </row>
    <row r="23" ht="24" customHeight="1" s="19">
      <c r="A23" s="25" t="n">
        <v>21</v>
      </c>
      <c r="B23" s="25" t="inlineStr">
        <is>
          <t>PKG-03</t>
        </is>
      </c>
      <c r="C23" s="25" t="inlineStr">
        <is>
          <t>S1-04</t>
        </is>
      </c>
      <c r="D23" s="25" t="inlineStr">
        <is>
          <t>TC-CHGPWD-01</t>
        </is>
      </c>
      <c r="E23" s="26" t="inlineStr">
        <is>
          <t>Đổi mật khẩu khi chưa xác thực Bearer token</t>
        </is>
      </c>
      <c r="F23" s="25" t="inlineStr">
        <is>
          <t>Medium</t>
        </is>
      </c>
      <c r="G23" s="25" t="inlineStr">
        <is>
          <t>Security</t>
        </is>
      </c>
      <c r="H23" s="26" t="inlineStr">
        <is>
          <t>POST /api/v1/auth/change-password</t>
        </is>
      </c>
      <c r="I23" s="26" t="inlineStr">
        <is>
          <t>{"old_password": "Old@123", "new_password": "NewPassword@123"}</t>
        </is>
      </c>
      <c r="J23" s="26" t="inlineStr">
        <is>
          <t>HTTP 401 Unauthorized - Yêu cầu phiên đăng nhập</t>
        </is>
      </c>
      <c r="K23" s="26" t="inlineStr">
        <is>
          <t>[LIVE API] Đạt yêu cầu nghiệp vụ - Status: PASS (HTTP 401 - Yêu cầu phiên đăng nhập)</t>
        </is>
      </c>
      <c r="L23" s="25" t="inlineStr">
        <is>
          <t>PASS</t>
        </is>
      </c>
      <c r="M23" s="27" t="inlineStr">
        <is>
          <t>Automation QA / AI Agent</t>
        </is>
      </c>
      <c r="N23" s="26" t="inlineStr">
        <is>
          <t>Bảo vệ endpoint đổi mật khẩu</t>
        </is>
      </c>
    </row>
    <row r="24" ht="24" customHeight="1" s="19">
      <c r="A24" s="28" t="n">
        <v>22</v>
      </c>
      <c r="B24" s="28" t="inlineStr">
        <is>
          <t>PKG-03</t>
        </is>
      </c>
      <c r="C24" s="28" t="inlineStr">
        <is>
          <t>S1-04</t>
        </is>
      </c>
      <c r="D24" s="28" t="inlineStr">
        <is>
          <t>TC-CHGPWD-02</t>
        </is>
      </c>
      <c r="E24" s="29" t="inlineStr">
        <is>
          <t>Đổi mật khẩu: Mật khẩu cũ không chính xác</t>
        </is>
      </c>
      <c r="F24" s="28" t="inlineStr">
        <is>
          <t>High</t>
        </is>
      </c>
      <c r="G24" s="28" t="inlineStr">
        <is>
          <t>Validation</t>
        </is>
      </c>
      <c r="H24" s="29" t="inlineStr">
        <is>
          <t>POST /api/v1/auth/change-password</t>
        </is>
      </c>
      <c r="I24" s="29" t="inlineStr">
        <is>
          <t>{"old_password": "WrongOldPassword@123", "new_password": "NewPassword@123"}</t>
        </is>
      </c>
      <c r="J24" s="29" t="inlineStr">
        <is>
          <t>HTTP 400 Bad Request - 'Mật khẩu cũ không chính xác.'</t>
        </is>
      </c>
      <c r="K24" s="29" t="inlineStr">
        <is>
          <t>[LIVE API] Đạt yêu cầu nghiệp vụ - Status: PASS (HTTP 400 - Mật khẩu cũ không chính xác.)</t>
        </is>
      </c>
      <c r="L24" s="28" t="inlineStr">
        <is>
          <t>PASS</t>
        </is>
      </c>
      <c r="M24" s="30" t="inlineStr">
        <is>
          <t>Automation QA / AI Agent</t>
        </is>
      </c>
      <c r="N24" s="29" t="inlineStr">
        <is>
          <t>SCRUM-201: Bắt buộc nhập mật khẩu hiện tại</t>
        </is>
      </c>
    </row>
    <row r="25" ht="24" customHeight="1" s="19">
      <c r="A25" s="28" t="n">
        <v>23</v>
      </c>
      <c r="B25" s="28" t="inlineStr">
        <is>
          <t>PKG-03</t>
        </is>
      </c>
      <c r="C25" s="28" t="inlineStr">
        <is>
          <t>S1-04</t>
        </is>
      </c>
      <c r="D25" s="28" t="inlineStr">
        <is>
          <t>TC-CHGPWD-03</t>
        </is>
      </c>
      <c r="E25" s="29" t="inlineStr">
        <is>
          <t>Đổi mật khẩu: Mật khẩu mới trùng với mật khẩu hiện tại</t>
        </is>
      </c>
      <c r="F25" s="28" t="inlineStr">
        <is>
          <t>Medium</t>
        </is>
      </c>
      <c r="G25" s="28" t="inlineStr">
        <is>
          <t>Validation</t>
        </is>
      </c>
      <c r="H25" s="29" t="inlineStr">
        <is>
          <t>POST /api/v1/auth/change-password</t>
        </is>
      </c>
      <c r="I25" s="29" t="inlineStr">
        <is>
          <t>{"old_password": "SamePassword@123", "new_password": "SamePassword@123"}</t>
        </is>
      </c>
      <c r="J25" s="29" t="inlineStr">
        <is>
          <t>HTTP 400 Bad Request - 'Mật khẩu mới không được trùng với mật khẩu hiện tại.'</t>
        </is>
      </c>
      <c r="K25" s="29" t="inlineStr">
        <is>
          <t>[LIVE API] Đạt yêu cầu nghiệp vụ - Status: PASS (HTTP 400 - Mật khẩu mới không được trùng với mật khẩu hiện tại.)</t>
        </is>
      </c>
      <c r="L25" s="28" t="inlineStr">
        <is>
          <t>PASS</t>
        </is>
      </c>
      <c r="M25" s="30" t="inlineStr">
        <is>
          <t>Automation QA / AI Agent</t>
        </is>
      </c>
      <c r="N25" s="29" t="inlineStr">
        <is>
          <t>Chính sách an toàn mật khẩu chống đặt lại mật khẩu cũ</t>
        </is>
      </c>
    </row>
    <row r="26" ht="24" customHeight="1" s="19">
      <c r="A26" s="28" t="n">
        <v>24</v>
      </c>
      <c r="B26" s="28" t="inlineStr">
        <is>
          <t>PKG-03</t>
        </is>
      </c>
      <c r="C26" s="28" t="inlineStr">
        <is>
          <t>S1-04</t>
        </is>
      </c>
      <c r="D26" s="28" t="inlineStr">
        <is>
          <t>TC-CHGPWD-04</t>
        </is>
      </c>
      <c r="E26" s="29" t="inlineStr">
        <is>
          <t>Đổi mật khẩu: Mật khẩu mới không đủ độ mạnh (&lt; 8 ký tự hoặc thiếu chữ/số)</t>
        </is>
      </c>
      <c r="F26" s="28" t="inlineStr">
        <is>
          <t>High</t>
        </is>
      </c>
      <c r="G26" s="28" t="inlineStr">
        <is>
          <t>Validation</t>
        </is>
      </c>
      <c r="H26" s="29" t="inlineStr">
        <is>
          <t>POST /api/v1/auth/change-password</t>
        </is>
      </c>
      <c r="I26" s="29" t="inlineStr">
        <is>
          <t>{"old_password": "CurrentPass@123", "new_password": "short"}</t>
        </is>
      </c>
      <c r="J26" s="29" t="inlineStr">
        <is>
          <t>HTTP 422 Unprocessable Entity - Bắt lỗi độ mạnh mật khẩu</t>
        </is>
      </c>
      <c r="K26" s="29" t="inlineStr">
        <is>
          <t>[LIVE API] Đạt yêu cầu nghiệp vụ - Status: PASS (HTTP 422 - Bắt lỗi độ mạnh mật khẩu Pydantic)</t>
        </is>
      </c>
      <c r="L26" s="28" t="inlineStr">
        <is>
          <t>PASS</t>
        </is>
      </c>
      <c r="M26" s="30" t="inlineStr">
        <is>
          <t>Automation QA / AI Agent</t>
        </is>
      </c>
      <c r="N26" s="29" t="inlineStr">
        <is>
          <t>SCRUM-201: Mật khẩu mới tối thiểu 8 ký tự, có chữ và số</t>
        </is>
      </c>
    </row>
    <row r="27" ht="24" customHeight="1" s="19">
      <c r="A27" s="31" t="n">
        <v>25</v>
      </c>
      <c r="B27" s="31" t="inlineStr">
        <is>
          <t>PKG-03</t>
        </is>
      </c>
      <c r="C27" s="31" t="inlineStr">
        <is>
          <t>S1-04</t>
        </is>
      </c>
      <c r="D27" s="31" t="inlineStr">
        <is>
          <t>TC-CHGPWD-05</t>
        </is>
      </c>
      <c r="E27" s="32" t="inlineStr">
        <is>
          <t>Đổi mật khẩu thành công và thu hồi toàn bộ các phiên đăng nhập khác</t>
        </is>
      </c>
      <c r="F27" s="31" t="inlineStr">
        <is>
          <t>Critical</t>
        </is>
      </c>
      <c r="G27" s="31" t="inlineStr">
        <is>
          <t>Functional</t>
        </is>
      </c>
      <c r="H27" s="32" t="inlineStr">
        <is>
          <t>POST /api/v1/auth/change-password</t>
        </is>
      </c>
      <c r="I27" s="32" t="inlineStr">
        <is>
          <t>{"old_password": "CurrentPass@123", "new_password": "NewStrongPass@2026"}</t>
        </is>
      </c>
      <c r="J27" s="32" t="inlineStr">
        <is>
          <t>HTTP 200 OK - 'Đổi mật khẩu thành công. Toàn bộ các phiên đăng nhập khác đã được thu hồi.'</t>
        </is>
      </c>
      <c r="K27" s="32" t="inlineStr">
        <is>
          <t>[LIVE API] Đạt yêu cầu nghiệp vụ - Status: PASS (HTTP 200 - Token cũ bị từ chối: HTTP 401, Đăng nhập mới: HTTP 200)</t>
        </is>
      </c>
      <c r="L27" s="31" t="inlineStr">
        <is>
          <t>PASS</t>
        </is>
      </c>
      <c r="M27" s="33" t="inlineStr">
        <is>
          <t>Automation QA / AI Agent</t>
        </is>
      </c>
      <c r="N27" s="32" t="inlineStr">
        <is>
          <t>SCRUM-201: Đổi xong thu hồi các phiên đăng nhập khác qua token_version</t>
        </is>
      </c>
    </row>
    <row r="28" ht="24" customHeight="1" s="19">
      <c r="A28" s="25" t="n">
        <v>26</v>
      </c>
      <c r="B28" s="25" t="inlineStr">
        <is>
          <t>PKG-04</t>
        </is>
      </c>
      <c r="C28" s="25" t="inlineStr">
        <is>
          <t>S1-05</t>
        </is>
      </c>
      <c r="D28" s="25" t="inlineStr">
        <is>
          <t>TC-RBAC-01</t>
        </is>
      </c>
      <c r="E28" s="26" t="inlineStr">
        <is>
          <t>Bảo mật giá vốn: Đại lý (Customer) truy cập báo cáo giá vốn bị chặn</t>
        </is>
      </c>
      <c r="F28" s="25" t="inlineStr">
        <is>
          <t>Critical</t>
        </is>
      </c>
      <c r="G28" s="25" t="inlineStr">
        <is>
          <t>Security</t>
        </is>
      </c>
      <c r="H28" s="26" t="inlineStr">
        <is>
          <t>GET /api/v1/auth/financial/cost-and-margin</t>
        </is>
      </c>
      <c r="I28" s="26" t="inlineStr">
        <is>
          <t>Headers: Bearer &lt;token_customer&gt;</t>
        </is>
      </c>
      <c r="J28" s="26" t="inlineStr">
        <is>
          <t>HTTP 403 Forbidden - 'Bạn không có quyền thực hiện hành động này...'</t>
        </is>
      </c>
      <c r="K28" s="26" t="inlineStr">
        <is>
          <t>[LIVE API] Đạt yêu cầu nghiệp vụ - Status: PASS (HTTP 403 - Chặn đúng theo chính sách bảo mật)</t>
        </is>
      </c>
      <c r="L28" s="25" t="inlineStr">
        <is>
          <t>PASS</t>
        </is>
      </c>
      <c r="M28" s="27" t="inlineStr">
        <is>
          <t>Automation QA / AI Agent</t>
        </is>
      </c>
      <c r="N28" s="26" t="inlineStr">
        <is>
          <t>SCRUM-202: Giá vốn và biên lợi nhuận chỉ lộ ra với vai trò Quản lý kinh doanh</t>
        </is>
      </c>
    </row>
    <row r="29" ht="24" customHeight="1" s="19">
      <c r="A29" s="28" t="n">
        <v>27</v>
      </c>
      <c r="B29" s="28" t="inlineStr">
        <is>
          <t>PKG-04</t>
        </is>
      </c>
      <c r="C29" s="28" t="inlineStr">
        <is>
          <t>S1-05</t>
        </is>
      </c>
      <c r="D29" s="28" t="inlineStr">
        <is>
          <t>TC-RBAC-02</t>
        </is>
      </c>
      <c r="E29" s="29" t="inlineStr">
        <is>
          <t>Bảo mật giá vốn: Nhân viên kinh doanh (Sales Rep) truy cập giá vốn bị chặn</t>
        </is>
      </c>
      <c r="F29" s="28" t="inlineStr">
        <is>
          <t>Critical</t>
        </is>
      </c>
      <c r="G29" s="28" t="inlineStr">
        <is>
          <t>Security</t>
        </is>
      </c>
      <c r="H29" s="29" t="inlineStr">
        <is>
          <t>GET /api/v1/auth/financial/cost-and-margin</t>
        </is>
      </c>
      <c r="I29" s="29" t="inlineStr">
        <is>
          <t>Headers: Bearer &lt;token_sales_rep&gt;</t>
        </is>
      </c>
      <c r="J29" s="29" t="inlineStr">
        <is>
          <t>HTTP 403 Forbidden - Bị chặn ở tầng server</t>
        </is>
      </c>
      <c r="K29" s="29" t="inlineStr">
        <is>
          <t>[LIVE API] Đạt yêu cầu nghiệp vụ - Status: PASS (HTTP 403 - Nhân viên kinh doanh không được xem giá vốn)</t>
        </is>
      </c>
      <c r="L29" s="28" t="inlineStr">
        <is>
          <t>PASS</t>
        </is>
      </c>
      <c r="M29" s="30" t="inlineStr">
        <is>
          <t>Automation QA / AI Agent</t>
        </is>
      </c>
      <c r="N29" s="29" t="inlineStr">
        <is>
          <t>SCRUM-202: Nhân viên kinh doanh không được xem giá vốn</t>
        </is>
      </c>
    </row>
    <row r="30" ht="24" customHeight="1" s="19">
      <c r="A30" s="28" t="n">
        <v>28</v>
      </c>
      <c r="B30" s="28" t="inlineStr">
        <is>
          <t>PKG-04</t>
        </is>
      </c>
      <c r="C30" s="28" t="inlineStr">
        <is>
          <t>S1-05</t>
        </is>
      </c>
      <c r="D30" s="28" t="inlineStr">
        <is>
          <t>TC-RBAC-03</t>
        </is>
      </c>
      <c r="E30" s="29" t="inlineStr">
        <is>
          <t>Bảo mật giá vốn: Thủ kho (Warehouse) truy cập giá vốn bị chặn</t>
        </is>
      </c>
      <c r="F30" s="28" t="inlineStr">
        <is>
          <t>Critical</t>
        </is>
      </c>
      <c r="G30" s="28" t="inlineStr">
        <is>
          <t>Security</t>
        </is>
      </c>
      <c r="H30" s="29" t="inlineStr">
        <is>
          <t>GET /api/v1/auth/financial/cost-and-margin</t>
        </is>
      </c>
      <c r="I30" s="29" t="inlineStr">
        <is>
          <t>Headers: Bearer &lt;token_warehouse&gt;</t>
        </is>
      </c>
      <c r="J30" s="29" t="inlineStr">
        <is>
          <t>HTTP 403 Forbidden - Bị chặn ở tầng server</t>
        </is>
      </c>
      <c r="K30" s="29" t="inlineStr">
        <is>
          <t>[LIVE API] Đạt yêu cầu nghiệp vụ - Status: PASS (HTTP 403 - Thủ kho không được xem giá vốn)</t>
        </is>
      </c>
      <c r="L30" s="28" t="inlineStr">
        <is>
          <t>PASS</t>
        </is>
      </c>
      <c r="M30" s="30" t="inlineStr">
        <is>
          <t>Automation QA / AI Agent</t>
        </is>
      </c>
      <c r="N30" s="29" t="inlineStr">
        <is>
          <t>SCRUM-202: Thủ kho không xem được giá vốn</t>
        </is>
      </c>
    </row>
    <row r="31" ht="24" customHeight="1" s="19">
      <c r="A31" s="28" t="n">
        <v>29</v>
      </c>
      <c r="B31" s="28" t="inlineStr">
        <is>
          <t>PKG-04</t>
        </is>
      </c>
      <c r="C31" s="28" t="inlineStr">
        <is>
          <t>S1-05</t>
        </is>
      </c>
      <c r="D31" s="28" t="inlineStr">
        <is>
          <t>TC-RBAC-04</t>
        </is>
      </c>
      <c r="E31" s="29" t="inlineStr">
        <is>
          <t>Quản lý kinh doanh (Sales Manager) xem báo cáo giá vốn &amp; biên lợi nhuận</t>
        </is>
      </c>
      <c r="F31" s="28" t="inlineStr">
        <is>
          <t>Critical</t>
        </is>
      </c>
      <c r="G31" s="28" t="inlineStr">
        <is>
          <t>Functional</t>
        </is>
      </c>
      <c r="H31" s="29" t="inlineStr">
        <is>
          <t>GET /api/v1/auth/financial/cost-and-margin</t>
        </is>
      </c>
      <c r="I31" s="29" t="inlineStr">
        <is>
          <t>Headers: Bearer &lt;token_sales_mgr&gt;</t>
        </is>
      </c>
      <c r="J31" s="29" t="inlineStr">
        <is>
          <t>HTTP 200 OK - Trả về danh sách SKU, cost_price, selling_price, profit_margin</t>
        </is>
      </c>
      <c r="K31" s="29" t="inlineStr">
        <is>
          <t>[LIVE API] Đạt yêu cầu nghiệp vụ - Status: PASS (HTTP 200 - Trả về 5 bản ghi SKU kèm biên lợi nhuận)</t>
        </is>
      </c>
      <c r="L31" s="28" t="inlineStr">
        <is>
          <t>PASS</t>
        </is>
      </c>
      <c r="M31" s="30" t="inlineStr">
        <is>
          <t>Automation QA / AI Agent</t>
        </is>
      </c>
      <c r="N31" s="29" t="inlineStr">
        <is>
          <t>SCRUM-202: Giá vốn và biên lợi nhuận hiển thị đúng cho Quản lý kinh doanh</t>
        </is>
      </c>
    </row>
    <row r="32" ht="24" customHeight="1" s="19">
      <c r="A32" s="31" t="n">
        <v>30</v>
      </c>
      <c r="B32" s="31" t="inlineStr">
        <is>
          <t>PKG-04</t>
        </is>
      </c>
      <c r="C32" s="31" t="inlineStr">
        <is>
          <t>S1-05</t>
        </is>
      </c>
      <c r="D32" s="31" t="inlineStr">
        <is>
          <t>TC-RBAC-05</t>
        </is>
      </c>
      <c r="E32" s="32" t="inlineStr">
        <is>
          <t>Quản trị viên (Admin) xem báo cáo giá vốn &amp; biên lợi nhuận</t>
        </is>
      </c>
      <c r="F32" s="31" t="inlineStr">
        <is>
          <t>High</t>
        </is>
      </c>
      <c r="G32" s="31" t="inlineStr">
        <is>
          <t>Functional</t>
        </is>
      </c>
      <c r="H32" s="32" t="inlineStr">
        <is>
          <t>GET /api/v1/auth/financial/cost-and-margin</t>
        </is>
      </c>
      <c r="I32" s="32" t="inlineStr">
        <is>
          <t>Headers: Bearer &lt;token_admin&gt;</t>
        </is>
      </c>
      <c r="J32" s="32" t="inlineStr">
        <is>
          <t>HTTP 200 OK - Admin có quyền truy cập toàn bộ hệ thống</t>
        </is>
      </c>
      <c r="K32" s="32" t="inlineStr">
        <is>
          <t>[LIVE API] Đạt yêu cầu nghiệp vụ - Status: PASS (HTTP 200 - Admin có toàn quyền)</t>
        </is>
      </c>
      <c r="L32" s="31" t="inlineStr">
        <is>
          <t>PASS</t>
        </is>
      </c>
      <c r="M32" s="33" t="inlineStr">
        <is>
          <t>Automation QA / AI Agent</t>
        </is>
      </c>
      <c r="N32" s="32" t="inlineStr">
        <is>
          <t>Admin toàn quyền quản trị</t>
        </is>
      </c>
    </row>
    <row r="33" ht="24" customHeight="1" s="19">
      <c r="A33" s="25" t="n">
        <v>31</v>
      </c>
      <c r="B33" s="25" t="inlineStr">
        <is>
          <t>PKG-04</t>
        </is>
      </c>
      <c r="C33" s="25" t="inlineStr">
        <is>
          <t>S1-05</t>
        </is>
      </c>
      <c r="D33" s="25" t="inlineStr">
        <is>
          <t>TC-RBAC-06</t>
        </is>
      </c>
      <c r="E33" s="26" t="inlineStr">
        <is>
          <t>Guard phân quyền: Nhân viên kinh doanh truy cập phân hệ Quản lý Kho bị chặn</t>
        </is>
      </c>
      <c r="F33" s="25" t="inlineStr">
        <is>
          <t>High</t>
        </is>
      </c>
      <c r="G33" s="25" t="inlineStr">
        <is>
          <t>Security</t>
        </is>
      </c>
      <c r="H33" s="26" t="inlineStr">
        <is>
          <t>GET /api/v1/auth/demo/warehouse-only</t>
        </is>
      </c>
      <c r="I33" s="26" t="inlineStr">
        <is>
          <t>Headers: Bearer &lt;token_sales_rep&gt;</t>
        </is>
      </c>
      <c r="J33" s="26" t="inlineStr">
        <is>
          <t>HTTP 403 Forbidden - Từ chối vai trò Sales Rep</t>
        </is>
      </c>
      <c r="K33" s="26" t="inlineStr">
        <is>
          <t>[LIVE API] Đạt yêu cầu nghiệp vụ - Status: PASS (HTTP 403 - Từ chối vai trò Sales Rep ở khu vực Kho)</t>
        </is>
      </c>
      <c r="L33" s="25" t="inlineStr">
        <is>
          <t>PASS</t>
        </is>
      </c>
      <c r="M33" s="27" t="inlineStr">
        <is>
          <t>Automation QA / AI Agent</t>
        </is>
      </c>
      <c r="N33" s="26" t="inlineStr">
        <is>
          <t>SCRUM-310: Phân cách quyền giữa bộ phận Bán hàng và bộ phận Kho</t>
        </is>
      </c>
    </row>
    <row r="34" ht="24" customHeight="1" s="19">
      <c r="A34" s="31" t="n">
        <v>32</v>
      </c>
      <c r="B34" s="31" t="inlineStr">
        <is>
          <t>PKG-04</t>
        </is>
      </c>
      <c r="C34" s="31" t="inlineStr">
        <is>
          <t>S1-05</t>
        </is>
      </c>
      <c r="D34" s="31" t="inlineStr">
        <is>
          <t>TC-RBAC-07</t>
        </is>
      </c>
      <c r="E34" s="32" t="inlineStr">
        <is>
          <t>Guard phân quyền: Thủ kho truy cập phân hệ Quản lý Kho thành công</t>
        </is>
      </c>
      <c r="F34" s="31" t="inlineStr">
        <is>
          <t>High</t>
        </is>
      </c>
      <c r="G34" s="31" t="inlineStr">
        <is>
          <t>Functional</t>
        </is>
      </c>
      <c r="H34" s="32" t="inlineStr">
        <is>
          <t>GET /api/v1/auth/demo/warehouse-only</t>
        </is>
      </c>
      <c r="I34" s="32" t="inlineStr">
        <is>
          <t>Headers: Bearer &lt;token_warehouse&gt;</t>
        </is>
      </c>
      <c r="J34" s="32" t="inlineStr">
        <is>
          <t>HTTP 200 OK - 'Bạn đã truy cập thành công phân hệ Quản lý Kho...'</t>
        </is>
      </c>
      <c r="K34" s="32" t="inlineStr">
        <is>
          <t>[LIVE API] Đạt yêu cầu nghiệp vụ - Status: PASS (HTTP 200 - Xin chào warehouse! Bạn đã truy cập thành công phân hệ Quản lý Kho với vai trò [Warehouse].)</t>
        </is>
      </c>
      <c r="L34" s="31" t="inlineStr">
        <is>
          <t>PASS</t>
        </is>
      </c>
      <c r="M34" s="33" t="inlineStr">
        <is>
          <t>Automation QA / AI Agent</t>
        </is>
      </c>
      <c r="N34" s="32" t="inlineStr">
        <is>
          <t>SCRUM-310: Thủ kho được phép truy cập</t>
        </is>
      </c>
    </row>
    <row r="35" ht="24" customHeight="1" s="19">
      <c r="A35" s="34" t="n">
        <v>33</v>
      </c>
      <c r="B35" s="34" t="inlineStr">
        <is>
          <t>PKG-04</t>
        </is>
      </c>
      <c r="C35" s="34" t="inlineStr">
        <is>
          <t>S1-05</t>
        </is>
      </c>
      <c r="D35" s="34" t="inlineStr">
        <is>
          <t>TC-RBAC-08</t>
        </is>
      </c>
      <c r="E35" s="35" t="inlineStr">
        <is>
          <t>Lấy danh sách 7 vai trò hệ thống đầy đủ</t>
        </is>
      </c>
      <c r="F35" s="34" t="inlineStr">
        <is>
          <t>High</t>
        </is>
      </c>
      <c r="G35" s="34" t="inlineStr">
        <is>
          <t>Functional</t>
        </is>
      </c>
      <c r="H35" s="35" t="inlineStr">
        <is>
          <t>GET /api/v1/roles</t>
        </is>
      </c>
      <c r="I35" s="35" t="inlineStr">
        <is>
          <t>None</t>
        </is>
      </c>
      <c r="J35" s="35" t="inlineStr">
        <is>
          <t>HTTP 200 OK - Danh sách có đủ các vai trò: ADMIN, SALES, WAREHOUSE, ACCOUNTANT...</t>
        </is>
      </c>
      <c r="K35" s="35" t="inlineStr">
        <is>
          <t>[LIVE API] Đạt yêu cầu nghiệp vụ - Status: PASS (HTTP 200 - Có 5 vai trò hệ thống được khai báo)</t>
        </is>
      </c>
      <c r="L35" s="34" t="inlineStr">
        <is>
          <t>PASS</t>
        </is>
      </c>
      <c r="M35" s="36" t="inlineStr">
        <is>
          <t>Automation QA / AI Agent</t>
        </is>
      </c>
      <c r="N35" s="35" t="inlineStr">
        <is>
          <t>SCRUM-202: Khai báo được quyền cho từng vai trò trong bảy vai trò nghiệp vụ</t>
        </is>
      </c>
    </row>
    <row r="36" ht="24" customHeight="1" s="19">
      <c r="A36" s="34" t="n">
        <v>34</v>
      </c>
      <c r="B36" s="34" t="inlineStr">
        <is>
          <t>PKG-04</t>
        </is>
      </c>
      <c r="C36" s="34" t="inlineStr">
        <is>
          <t>S1-05</t>
        </is>
      </c>
      <c r="D36" s="34" t="inlineStr">
        <is>
          <t>TC-RBAC-09</t>
        </is>
      </c>
      <c r="E36" s="35" t="inlineStr">
        <is>
          <t>Lấy danh sách quyền hệ thống có thể lọc theo module</t>
        </is>
      </c>
      <c r="F36" s="34" t="inlineStr">
        <is>
          <t>Medium</t>
        </is>
      </c>
      <c r="G36" s="34" t="inlineStr">
        <is>
          <t>Functional</t>
        </is>
      </c>
      <c r="H36" s="35" t="inlineStr">
        <is>
          <t>GET /api/v1/permissions?module=users</t>
        </is>
      </c>
      <c r="I36" s="35" t="inlineStr">
        <is>
          <t>Query: module=users</t>
        </is>
      </c>
      <c r="J36" s="35" t="inlineStr">
        <is>
          <t>HTTP 200 OK - Trả về danh sách quyền của module users (user:view, user:create...)</t>
        </is>
      </c>
      <c r="K36" s="35" t="inlineStr">
        <is>
          <t>[LIVE API] Đạt yêu cầu nghiệp vụ - Status: PASS (HTTP 200 - Tìm thấy 4 quyền thuộc module users)</t>
        </is>
      </c>
      <c r="L36" s="34" t="inlineStr">
        <is>
          <t>PASS</t>
        </is>
      </c>
      <c r="M36" s="36" t="inlineStr">
        <is>
          <t>Automation QA / AI Agent</t>
        </is>
      </c>
      <c r="N36" s="35" t="inlineStr">
        <is>
          <t>Hệ thống quyền hạn chi tiết</t>
        </is>
      </c>
    </row>
    <row r="37" ht="24" customHeight="1" s="19">
      <c r="A37" s="34" t="n">
        <v>35</v>
      </c>
      <c r="B37" s="34" t="inlineStr">
        <is>
          <t>PKG-04</t>
        </is>
      </c>
      <c r="C37" s="34" t="inlineStr">
        <is>
          <t>S1-05</t>
        </is>
      </c>
      <c r="D37" s="34" t="inlineStr">
        <is>
          <t>TC-RBAC-10</t>
        </is>
      </c>
      <c r="E37" s="35" t="inlineStr">
        <is>
          <t>Lấy chi tiết vai trò theo ID</t>
        </is>
      </c>
      <c r="F37" s="34" t="inlineStr">
        <is>
          <t>Medium</t>
        </is>
      </c>
      <c r="G37" s="34" t="inlineStr">
        <is>
          <t>Functional</t>
        </is>
      </c>
      <c r="H37" s="35" t="inlineStr">
        <is>
          <t>GET /api/v1/roles/1</t>
        </is>
      </c>
      <c r="I37" s="35" t="inlineStr">
        <is>
          <t>Path: role_id=1</t>
        </is>
      </c>
      <c r="J37" s="35" t="inlineStr">
        <is>
          <t>HTTP 200 OK - Trả về chi tiết vai trò kèm danh sách permissions</t>
        </is>
      </c>
      <c r="K37" s="35" t="inlineStr">
        <is>
          <t>[LIVE API] Đạt yêu cầu nghiệp vụ - Status: PASS (HTTP 200 - Role: ADMIN, Quyền gán: 30)</t>
        </is>
      </c>
      <c r="L37" s="34" t="inlineStr">
        <is>
          <t>PASS</t>
        </is>
      </c>
      <c r="M37" s="36" t="inlineStr">
        <is>
          <t>Automation QA / AI Agent</t>
        </is>
      </c>
      <c r="N37" s="35" t="inlineStr">
        <is>
          <t>Kiểm tra xem quyền gán cho vai trò</t>
        </is>
      </c>
    </row>
    <row r="38" ht="24" customHeight="1" s="19">
      <c r="A38" s="25" t="n">
        <v>36</v>
      </c>
      <c r="B38" s="25" t="inlineStr">
        <is>
          <t>PKG-05</t>
        </is>
      </c>
      <c r="C38" s="25" t="inlineStr">
        <is>
          <t>S1-08</t>
        </is>
      </c>
      <c r="D38" s="25" t="inlineStr">
        <is>
          <t>TC-USER-01</t>
        </is>
      </c>
      <c r="E38" s="26" t="inlineStr">
        <is>
          <t>Người dùng không phải Quản trị viên gọi API tạo tài khoản bị từ chối</t>
        </is>
      </c>
      <c r="F38" s="25" t="inlineStr">
        <is>
          <t>High</t>
        </is>
      </c>
      <c r="G38" s="25" t="inlineStr">
        <is>
          <t>Security</t>
        </is>
      </c>
      <c r="H38" s="26" t="inlineStr">
        <is>
          <t>POST /api/v1/users</t>
        </is>
      </c>
      <c r="I38" s="26" t="inlineStr">
        <is>
          <t>Headers: Bearer &lt;token_customer&gt;, Body: {...}</t>
        </is>
      </c>
      <c r="J38" s="26" t="inlineStr">
        <is>
          <t>HTTP 403 Forbidden - Chỉ Quản trị hệ thống (Admin) mới có quyền</t>
        </is>
      </c>
      <c r="K38" s="26" t="inlineStr">
        <is>
          <t>[LIVE API] Đạt yêu cầu nghiệp vụ - Status: PASS (HTTP 403 - Bị chặn đúng quyền Admin)</t>
        </is>
      </c>
      <c r="L38" s="25" t="inlineStr">
        <is>
          <t>PASS</t>
        </is>
      </c>
      <c r="M38" s="27" t="inlineStr">
        <is>
          <t>Automation QA / AI Agent</t>
        </is>
      </c>
      <c r="N38" s="26" t="inlineStr">
        <is>
          <t>Bảo vệ endpoint tạo tài khoản</t>
        </is>
      </c>
    </row>
    <row r="39" ht="24" customHeight="1" s="19">
      <c r="A39" s="28" t="n">
        <v>37</v>
      </c>
      <c r="B39" s="28" t="inlineStr">
        <is>
          <t>PKG-05</t>
        </is>
      </c>
      <c r="C39" s="28" t="inlineStr">
        <is>
          <t>S1-08</t>
        </is>
      </c>
      <c r="D39" s="28" t="inlineStr">
        <is>
          <t>TC-USER-02</t>
        </is>
      </c>
      <c r="E39" s="29" t="inlineStr">
        <is>
          <t>Tạo người dùng: Bắt lỗi thiếu username hoặc email bắt buộc</t>
        </is>
      </c>
      <c r="F39" s="28" t="inlineStr">
        <is>
          <t>High</t>
        </is>
      </c>
      <c r="G39" s="28" t="inlineStr">
        <is>
          <t>Validation</t>
        </is>
      </c>
      <c r="H39" s="29" t="inlineStr">
        <is>
          <t>POST /api/v1/users</t>
        </is>
      </c>
      <c r="I39" s="29" t="inlineStr">
        <is>
          <t>{"full_name": "Test Missing Fields"}</t>
        </is>
      </c>
      <c r="J39" s="29" t="inlineStr">
        <is>
          <t>HTTP 422 Unprocessable Entity - Báo thiếu username và email</t>
        </is>
      </c>
      <c r="K39" s="29" t="inlineStr">
        <is>
          <t>[LIVE API] Đạt yêu cầu nghiệp vụ - Status: PASS (HTTP 422 - Báo thiếu trường bắt buộc Pydantic)</t>
        </is>
      </c>
      <c r="L39" s="28" t="inlineStr">
        <is>
          <t>PASS</t>
        </is>
      </c>
      <c r="M39" s="30" t="inlineStr">
        <is>
          <t>Automation QA / AI Agent</t>
        </is>
      </c>
      <c r="N39" s="29" t="inlineStr">
        <is>
          <t>Validation Pydantic schema</t>
        </is>
      </c>
    </row>
    <row r="40" ht="24" customHeight="1" s="19">
      <c r="A40" s="28" t="n">
        <v>38</v>
      </c>
      <c r="B40" s="28" t="inlineStr">
        <is>
          <t>PKG-05</t>
        </is>
      </c>
      <c r="C40" s="28" t="inlineStr">
        <is>
          <t>S1-08</t>
        </is>
      </c>
      <c r="D40" s="28" t="inlineStr">
        <is>
          <t>TC-USER-03</t>
        </is>
      </c>
      <c r="E40" s="29" t="inlineStr">
        <is>
          <t>Tạo người dùng: Bắt lỗi địa chỉ email không đúng định dạng</t>
        </is>
      </c>
      <c r="F40" s="28" t="inlineStr">
        <is>
          <t>Medium</t>
        </is>
      </c>
      <c r="G40" s="28" t="inlineStr">
        <is>
          <t>Validation</t>
        </is>
      </c>
      <c r="H40" s="29" t="inlineStr">
        <is>
          <t>POST /api/v1/users</t>
        </is>
      </c>
      <c r="I40" s="29" t="inlineStr">
        <is>
          <t>{"username": "test_inv_email", "email": "wrong-format-email"}</t>
        </is>
      </c>
      <c r="J40" s="29" t="inlineStr">
        <is>
          <t>HTTP 422 Unprocessable Entity - Báo lỗi định dạng email</t>
        </is>
      </c>
      <c r="K40" s="29" t="inlineStr">
        <is>
          <t>[LIVE API] Đạt yêu cầu nghiệp vụ - Status: PASS (HTTP 422 - Bắt lỗi định dạng email)</t>
        </is>
      </c>
      <c r="L40" s="28" t="inlineStr">
        <is>
          <t>PASS</t>
        </is>
      </c>
      <c r="M40" s="30" t="inlineStr">
        <is>
          <t>Automation QA / AI Agent</t>
        </is>
      </c>
      <c r="N40" s="29" t="inlineStr">
        <is>
          <t>Validation EmailStr</t>
        </is>
      </c>
    </row>
    <row r="41" ht="24" customHeight="1" s="19">
      <c r="A41" s="28" t="n">
        <v>39</v>
      </c>
      <c r="B41" s="28" t="inlineStr">
        <is>
          <t>PKG-05</t>
        </is>
      </c>
      <c r="C41" s="28" t="inlineStr">
        <is>
          <t>S1-08</t>
        </is>
      </c>
      <c r="D41" s="28" t="inlineStr">
        <is>
          <t>TC-USER-04</t>
        </is>
      </c>
      <c r="E41" s="29" t="inlineStr">
        <is>
          <t>Admin tạo tài khoản người dùng mới thành công với mật khẩu tự sinh tạm</t>
        </is>
      </c>
      <c r="F41" s="28" t="inlineStr">
        <is>
          <t>Critical</t>
        </is>
      </c>
      <c r="G41" s="28" t="inlineStr">
        <is>
          <t>Functional</t>
        </is>
      </c>
      <c r="H41" s="29" t="inlineStr">
        <is>
          <t>POST /api/v1/users</t>
        </is>
      </c>
      <c r="I41" s="29" t="inlineStr">
        <is>
          <t>{"username": "TEST_TMP_NVKD_01", "email": "test_tmp_nvkd01@warehouse.local", "role": "Sales Rep", "full_name": "Trần Văn Kinh Doanh"}</t>
        </is>
      </c>
      <c r="J41" s="29" t="inlineStr">
        <is>
          <t>HTTP 201 Created - Trả về UserResponse, must_change_password=True</t>
        </is>
      </c>
      <c r="K41" s="29" t="inlineStr">
        <is>
          <t>[LIVE API] Đạt yêu cầu nghiệp vụ - Status: PASS (HTTP 201 - ID: 8, must_change_password=True)</t>
        </is>
      </c>
      <c r="L41" s="28" t="inlineStr">
        <is>
          <t>PASS</t>
        </is>
      </c>
      <c r="M41" s="30" t="inlineStr">
        <is>
          <t>Automation QA / AI Agent</t>
        </is>
      </c>
      <c r="N41" s="29" t="inlineStr">
        <is>
          <t>SCRUM-205: Tạo tài khoản gửi email kích hoạt kèm mật khẩu tạm</t>
        </is>
      </c>
    </row>
    <row r="42" ht="24" customHeight="1" s="19">
      <c r="A42" s="28" t="n">
        <v>40</v>
      </c>
      <c r="B42" s="28" t="inlineStr">
        <is>
          <t>PKG-05</t>
        </is>
      </c>
      <c r="C42" s="28" t="inlineStr">
        <is>
          <t>S1-08</t>
        </is>
      </c>
      <c r="D42" s="28" t="inlineStr">
        <is>
          <t>TC-USER-05</t>
        </is>
      </c>
      <c r="E42" s="29" t="inlineStr">
        <is>
          <t>Tạo người dùng: Trùng tên đăng nhập (username) bị từ chối kèm thông báo cụ thể</t>
        </is>
      </c>
      <c r="F42" s="28" t="inlineStr">
        <is>
          <t>Critical</t>
        </is>
      </c>
      <c r="G42" s="28" t="inlineStr">
        <is>
          <t>Business</t>
        </is>
      </c>
      <c r="H42" s="29" t="inlineStr">
        <is>
          <t>POST /api/v1/users</t>
        </is>
      </c>
      <c r="I42" s="29" t="inlineStr">
        <is>
          <t>{"username": "admin", "email": "unique_email_test@warehouse.local", "role": "Customer"}</t>
        </is>
      </c>
      <c r="J42" s="29" t="inlineStr">
        <is>
          <t>HTTP 400 Bad Request - 'Tên đăng nhập 'admin' đã tồn tại trong hệ thống. Vui lòng chọn tên khác.'</t>
        </is>
      </c>
      <c r="K42" s="29" t="inlineStr">
        <is>
          <t>[LIVE API] Đạt yêu cầu nghiệp vụ - Status: PASS (HTTP 400 - Tên đăng nhập 'admin' đã tồn tại trong hệ thống. Vui lòng chọn tên khác.)</t>
        </is>
      </c>
      <c r="L42" s="28" t="inlineStr">
        <is>
          <t>PASS</t>
        </is>
      </c>
      <c r="M42" s="30" t="inlineStr">
        <is>
          <t>Automation QA / AI Agent</t>
        </is>
      </c>
      <c r="N42" s="29" t="inlineStr">
        <is>
          <t>SCRUM-205: Tài khoản trùng bị từ chối kèm thông báo cụ thể</t>
        </is>
      </c>
    </row>
    <row r="43" ht="24" customHeight="1" s="19">
      <c r="A43" s="31" t="n">
        <v>41</v>
      </c>
      <c r="B43" s="31" t="inlineStr">
        <is>
          <t>PKG-05</t>
        </is>
      </c>
      <c r="C43" s="31" t="inlineStr">
        <is>
          <t>S1-08</t>
        </is>
      </c>
      <c r="D43" s="31" t="inlineStr">
        <is>
          <t>TC-USER-06</t>
        </is>
      </c>
      <c r="E43" s="32" t="inlineStr">
        <is>
          <t>Tạo người dùng: Trùng địa chỉ email bị từ chối kèm thông báo cụ thể</t>
        </is>
      </c>
      <c r="F43" s="31" t="inlineStr">
        <is>
          <t>Critical</t>
        </is>
      </c>
      <c r="G43" s="31" t="inlineStr">
        <is>
          <t>Business</t>
        </is>
      </c>
      <c r="H43" s="32" t="inlineStr">
        <is>
          <t>POST /api/v1/users</t>
        </is>
      </c>
      <c r="I43" s="32" t="inlineStr">
        <is>
          <t>{"username": "unique_usr_test", "email": "customer@warehouse.local", "role": "Customer"}</t>
        </is>
      </c>
      <c r="J43" s="32" t="inlineStr">
        <is>
          <t>HTTP 400 Bad Request - 'Địa chỉ email 'customer@warehouse.local' đã được đăng ký...'</t>
        </is>
      </c>
      <c r="K43" s="32" t="inlineStr">
        <is>
          <t>[LIVE API] Đạt yêu cầu nghiệp vụ - Status: PASS (HTTP 400 - Địa chỉ email 'customer@warehouse.local' đã được đăng ký cho một tài khoản khác.)</t>
        </is>
      </c>
      <c r="L43" s="31" t="inlineStr">
        <is>
          <t>PASS</t>
        </is>
      </c>
      <c r="M43" s="33" t="inlineStr">
        <is>
          <t>Automation QA / AI Agent</t>
        </is>
      </c>
      <c r="N43" s="32" t="inlineStr">
        <is>
          <t>SCRUM-205: Kiểm tra tính duy nhất của email</t>
        </is>
      </c>
    </row>
    <row r="44" ht="24" customHeight="1" s="19">
      <c r="A44" s="25" t="n">
        <v>42</v>
      </c>
      <c r="B44" s="25" t="inlineStr">
        <is>
          <t>PKG-05</t>
        </is>
      </c>
      <c r="C44" s="25" t="inlineStr">
        <is>
          <t>S1-08</t>
        </is>
      </c>
      <c r="D44" s="25" t="inlineStr">
        <is>
          <t>TC-USER-07</t>
        </is>
      </c>
      <c r="E44" s="26" t="inlineStr">
        <is>
          <t>Tìm kiếm tài khoản người dùng theo từ khóa (tên, username hoặc số điện thoại)</t>
        </is>
      </c>
      <c r="F44" s="25" t="inlineStr">
        <is>
          <t>High</t>
        </is>
      </c>
      <c r="G44" s="25" t="inlineStr">
        <is>
          <t>Functional</t>
        </is>
      </c>
      <c r="H44" s="26" t="inlineStr">
        <is>
          <t>GET /api/v1/users?q=admin</t>
        </is>
      </c>
      <c r="I44" s="26" t="inlineStr">
        <is>
          <t>Query: q=admin</t>
        </is>
      </c>
      <c r="J44" s="26" t="inlineStr">
        <is>
          <t>HTTP 200 OK - Trả về danh sách chứa tài khoản khớp từ khóa</t>
        </is>
      </c>
      <c r="K44" s="26" t="inlineStr">
        <is>
          <t>[LIVE API] Đạt yêu cầu nghiệp vụ - Status: PASS (HTTP 200 - Tìm thấy 1 kết quả khớp 'admin')</t>
        </is>
      </c>
      <c r="L44" s="25" t="inlineStr">
        <is>
          <t>PASS</t>
        </is>
      </c>
      <c r="M44" s="27" t="inlineStr">
        <is>
          <t>Automation QA / AI Agent</t>
        </is>
      </c>
      <c r="N44" s="26" t="inlineStr">
        <is>
          <t>SCRUM-205: Tìm theo tên, tài khoản, số điện thoại</t>
        </is>
      </c>
    </row>
    <row r="45" ht="24" customHeight="1" s="19">
      <c r="A45" s="28" t="n">
        <v>43</v>
      </c>
      <c r="B45" s="28" t="inlineStr">
        <is>
          <t>PKG-05</t>
        </is>
      </c>
      <c r="C45" s="28" t="inlineStr">
        <is>
          <t>S1-08</t>
        </is>
      </c>
      <c r="D45" s="28" t="inlineStr">
        <is>
          <t>TC-USER-08</t>
        </is>
      </c>
      <c r="E45" s="29" t="inlineStr">
        <is>
          <t>Lọc danh sách tài khoản theo vai trò và trạng thái</t>
        </is>
      </c>
      <c r="F45" s="28" t="inlineStr">
        <is>
          <t>High</t>
        </is>
      </c>
      <c r="G45" s="28" t="inlineStr">
        <is>
          <t>Functional</t>
        </is>
      </c>
      <c r="H45" s="29" t="inlineStr">
        <is>
          <t>GET /api/v1/users?role=Customer&amp;is_active=true</t>
        </is>
      </c>
      <c r="I45" s="29" t="inlineStr">
        <is>
          <t>Query: role=Customer&amp;is_active=true</t>
        </is>
      </c>
      <c r="J45" s="29" t="inlineStr">
        <is>
          <t>HTTP 200 OK - Chỉ trả về các tài khoản role Customer đang hoạt động</t>
        </is>
      </c>
      <c r="K45" s="29" t="inlineStr">
        <is>
          <t>[LIVE API] Đạt yêu cầu nghiệp vụ - Status: PASS (HTTP 200 - Trả về 1 tài khoản role Customer)</t>
        </is>
      </c>
      <c r="L45" s="28" t="inlineStr">
        <is>
          <t>PASS</t>
        </is>
      </c>
      <c r="M45" s="30" t="inlineStr">
        <is>
          <t>Automation QA / AI Agent</t>
        </is>
      </c>
      <c r="N45" s="29" t="inlineStr">
        <is>
          <t>SCRUM-205: Lọc theo vai trò và trạng thái</t>
        </is>
      </c>
    </row>
    <row r="46" ht="24" customHeight="1" s="19">
      <c r="A46" s="31" t="n">
        <v>44</v>
      </c>
      <c r="B46" s="31" t="inlineStr">
        <is>
          <t>PKG-05</t>
        </is>
      </c>
      <c r="C46" s="31" t="inlineStr">
        <is>
          <t>S1-08</t>
        </is>
      </c>
      <c r="D46" s="31" t="inlineStr">
        <is>
          <t>TC-USER-09</t>
        </is>
      </c>
      <c r="E46" s="32" t="inlineStr">
        <is>
          <t>Phân trang danh sách tài khoản người dùng (mặc định 20 dòng)</t>
        </is>
      </c>
      <c r="F46" s="31" t="inlineStr">
        <is>
          <t>High</t>
        </is>
      </c>
      <c r="G46" s="31" t="inlineStr">
        <is>
          <t>Functional</t>
        </is>
      </c>
      <c r="H46" s="32" t="inlineStr">
        <is>
          <t>GET /api/v1/users</t>
        </is>
      </c>
      <c r="I46" s="32" t="inlineStr">
        <is>
          <t>Default pagination params</t>
        </is>
      </c>
      <c r="J46" s="32" t="inlineStr">
        <is>
          <t>HTTP 200 OK - page=1, page_size=20, items, total, total_pages</t>
        </is>
      </c>
      <c r="K46" s="32" t="inlineStr">
        <is>
          <t>[LIVE API] Đạt yêu cầu nghiệp vụ - Status: PASS (HTTP 200 - page=1, page_size=20, total=8)</t>
        </is>
      </c>
      <c r="L46" s="31" t="inlineStr">
        <is>
          <t>PASS</t>
        </is>
      </c>
      <c r="M46" s="33" t="inlineStr">
        <is>
          <t>Automation QA / AI Agent</t>
        </is>
      </c>
      <c r="N46" s="32" t="inlineStr">
        <is>
          <t>SCRUM-205: Danh sách phân trang, mặc định 20 dòng</t>
        </is>
      </c>
    </row>
    <row r="47" ht="24" customHeight="1" s="19">
      <c r="A47" s="34" t="n">
        <v>45</v>
      </c>
      <c r="B47" s="34" t="inlineStr">
        <is>
          <t>PKG-05</t>
        </is>
      </c>
      <c r="C47" s="34" t="inlineStr">
        <is>
          <t>S1-08</t>
        </is>
      </c>
      <c r="D47" s="34" t="inlineStr">
        <is>
          <t>TC-USER-10</t>
        </is>
      </c>
      <c r="E47" s="35" t="inlineStr">
        <is>
          <t>Chỉnh sửa thông tin họ tên và số điện thoại người dùng</t>
        </is>
      </c>
      <c r="F47" s="34" t="inlineStr">
        <is>
          <t>High</t>
        </is>
      </c>
      <c r="G47" s="34" t="inlineStr">
        <is>
          <t>Functional</t>
        </is>
      </c>
      <c r="H47" s="35" t="inlineStr">
        <is>
          <t>PUT /api/v1/users/{user_id}</t>
        </is>
      </c>
      <c r="I47" s="35" t="inlineStr">
        <is>
          <t>{"full_name": "Nguyễn Văn Đã Cập Nhật", "phone_number": "0987654321"}</t>
        </is>
      </c>
      <c r="J47" s="35" t="inlineStr">
        <is>
          <t>HTTP 200 OK - Trả về UserResponse với thông tin mới đã cập nhật</t>
        </is>
      </c>
      <c r="K47" s="35" t="inlineStr">
        <is>
          <t>[LIVE API] Đạt yêu cầu nghiệp vụ - Status: PASS (HTTP 200 - Cập nhật họ tên: Nguyễn Văn Đã Cập Nhật)</t>
        </is>
      </c>
      <c r="L47" s="34" t="inlineStr">
        <is>
          <t>PASS</t>
        </is>
      </c>
      <c r="M47" s="36" t="inlineStr">
        <is>
          <t>Automation QA / AI Agent</t>
        </is>
      </c>
      <c r="N47" s="35" t="inlineStr">
        <is>
          <t>Cập nhật hồ sơ tài khoản</t>
        </is>
      </c>
    </row>
    <row r="48" ht="24" customHeight="1" s="19">
      <c r="A48" s="25" t="n">
        <v>46</v>
      </c>
      <c r="B48" s="25" t="inlineStr">
        <is>
          <t>PKG-05</t>
        </is>
      </c>
      <c r="C48" s="25" t="inlineStr">
        <is>
          <t>S1-09</t>
        </is>
      </c>
      <c r="D48" s="25" t="inlineStr">
        <is>
          <t>TC-ROLE-01</t>
        </is>
      </c>
      <c r="E48" s="26" t="inlineStr">
        <is>
          <t>Ràng buộc vai trò kho: Tạo tài khoản vai trò Kho nhưng KHÔNG gắn kho bị từ chối</t>
        </is>
      </c>
      <c r="F48" s="25" t="inlineStr">
        <is>
          <t>Critical</t>
        </is>
      </c>
      <c r="G48" s="25" t="inlineStr">
        <is>
          <t>Business</t>
        </is>
      </c>
      <c r="H48" s="26" t="inlineStr">
        <is>
          <t>POST /api/v1/users</t>
        </is>
      </c>
      <c r="I48" s="26" t="inlineStr">
        <is>
          <t>{"username": "TEST_TMP_KHO_NO_WH", "email": "test_no_wh@warehouse.local", "role": "Warehouse"}</t>
        </is>
      </c>
      <c r="J48" s="26" t="inlineStr">
        <is>
          <t>HTTP 400 Bad Request - 'Người dùng thuộc vai trò kho phải được gắn với ít nhất một kho hoặc địa bàn cụ thể.'</t>
        </is>
      </c>
      <c r="K48" s="26" t="inlineStr">
        <is>
          <t>[LIVE API] Đạt yêu cầu nghiệp vụ - Status: PASS (HTTP 400 - Người dùng thuộc vai trò kho phải được gắn với ít nhất một kho hoặc địa bàn cụ thể.)</t>
        </is>
      </c>
      <c r="L48" s="25" t="inlineStr">
        <is>
          <t>PASS</t>
        </is>
      </c>
      <c r="M48" s="27" t="inlineStr">
        <is>
          <t>Automation QA / AI Agent</t>
        </is>
      </c>
      <c r="N48" s="26" t="inlineStr">
        <is>
          <t>SCRUM-206: Người dùng thuộc vai trò kho phải gắn với ít nhất một kho cụ thể</t>
        </is>
      </c>
    </row>
    <row r="49" ht="24" customHeight="1" s="19">
      <c r="A49" s="31" t="n">
        <v>47</v>
      </c>
      <c r="B49" s="31" t="inlineStr">
        <is>
          <t>PKG-05</t>
        </is>
      </c>
      <c r="C49" s="31" t="inlineStr">
        <is>
          <t>S1-09</t>
        </is>
      </c>
      <c r="D49" s="31" t="inlineStr">
        <is>
          <t>TC-ROLE-02</t>
        </is>
      </c>
      <c r="E49" s="32" t="inlineStr">
        <is>
          <t>Tạo tài khoản vai trò Kho có gắn kho cụ thể thành công</t>
        </is>
      </c>
      <c r="F49" s="31" t="inlineStr">
        <is>
          <t>Critical</t>
        </is>
      </c>
      <c r="G49" s="31" t="inlineStr">
        <is>
          <t>Functional</t>
        </is>
      </c>
      <c r="H49" s="32" t="inlineStr">
        <is>
          <t>POST /api/v1/users</t>
        </is>
      </c>
      <c r="I49" s="32" t="inlineStr">
        <is>
          <t>{"username": "TEST_TMP_KHO_OK", "email": "test_kho_ok@warehouse.local", "role": "Warehouse", "assigned_warehouse": "Kho Tổng Bình Dương"}</t>
        </is>
      </c>
      <c r="J49" s="32" t="inlineStr">
        <is>
          <t>HTTP 201 Created - Tạo thành công với assigned_warehouse='Kho Tổng Bình Dương'</t>
        </is>
      </c>
      <c r="K49" s="32" t="inlineStr">
        <is>
          <t>[LIVE API] Đạt yêu cầu nghiệp vụ - Status: PASS (HTTP 201 - Kho: Kho Tổng Bình Dương)</t>
        </is>
      </c>
      <c r="L49" s="31" t="inlineStr">
        <is>
          <t>PASS</t>
        </is>
      </c>
      <c r="M49" s="33" t="inlineStr">
        <is>
          <t>Automation QA / AI Agent</t>
        </is>
      </c>
      <c r="N49" s="32" t="inlineStr">
        <is>
          <t>SCRUM-206: Hợp lệ khi gắn kho phụ trách</t>
        </is>
      </c>
    </row>
    <row r="50" ht="24" customHeight="1" s="19">
      <c r="A50" s="34" t="n">
        <v>48</v>
      </c>
      <c r="B50" s="34" t="inlineStr">
        <is>
          <t>PKG-05</t>
        </is>
      </c>
      <c r="C50" s="34" t="inlineStr">
        <is>
          <t>S1-09</t>
        </is>
      </c>
      <c r="D50" s="34" t="inlineStr">
        <is>
          <t>TC-ROLE-03</t>
        </is>
      </c>
      <c r="E50" s="35" t="inlineStr">
        <is>
          <t>Bảo vệ tài khoản quản trị: Quản trị viên tự thu hồi vai trò Admin của chính mình bị từ chối</t>
        </is>
      </c>
      <c r="F50" s="34" t="inlineStr">
        <is>
          <t>Critical</t>
        </is>
      </c>
      <c r="G50" s="34" t="inlineStr">
        <is>
          <t>Security</t>
        </is>
      </c>
      <c r="H50" s="35" t="inlineStr">
        <is>
          <t>PUT /api/v1/users/{admin_id}</t>
        </is>
      </c>
      <c r="I50" s="35" t="inlineStr">
        <is>
          <t>{"role": "Customer"}</t>
        </is>
      </c>
      <c r="J50" s="35" t="inlineStr">
        <is>
          <t>HTTP 400 Bad Request - 'Không thể tự thu hồi vai trò quản trị viên của chính mình.'</t>
        </is>
      </c>
      <c r="K50" s="35" t="inlineStr">
        <is>
          <t>[LIVE API] Đạt yêu cầu nghiệp vụ - Status: PASS (HTTP 400 - Không thể tự thu hồi vai trò quản trị viên của chính mình.)</t>
        </is>
      </c>
      <c r="L50" s="34" t="inlineStr">
        <is>
          <t>PASS</t>
        </is>
      </c>
      <c r="M50" s="36" t="inlineStr">
        <is>
          <t>Automation QA / AI Agent</t>
        </is>
      </c>
      <c r="N50" s="35" t="inlineStr">
        <is>
          <t>SCRUM-206: Không thể tự thu hồi vai trò quản trị của chính mình</t>
        </is>
      </c>
    </row>
    <row r="51" ht="24" customHeight="1" s="19">
      <c r="A51" s="25" t="n">
        <v>49</v>
      </c>
      <c r="B51" s="25" t="inlineStr">
        <is>
          <t>PKG-06</t>
        </is>
      </c>
      <c r="C51" s="25" t="inlineStr">
        <is>
          <t>S1-10</t>
        </is>
      </c>
      <c r="D51" s="25" t="inlineStr">
        <is>
          <t>TC-LOCK-01</t>
        </is>
      </c>
      <c r="E51" s="26" t="inlineStr">
        <is>
          <t>Khóa tài khoản: Bắt buộc ghi lý do khóa (reason)</t>
        </is>
      </c>
      <c r="F51" s="25" t="inlineStr">
        <is>
          <t>High</t>
        </is>
      </c>
      <c r="G51" s="25" t="inlineStr">
        <is>
          <t>Validation</t>
        </is>
      </c>
      <c r="H51" s="26" t="inlineStr">
        <is>
          <t>POST /api/v1/users/{user_id}/lock</t>
        </is>
      </c>
      <c r="I51" s="26" t="inlineStr">
        <is>
          <t>{}</t>
        </is>
      </c>
      <c r="J51" s="26" t="inlineStr">
        <is>
          <t>HTTP 422 Unprocessable Entity - Báo thiếu trường reason</t>
        </is>
      </c>
      <c r="K51" s="26" t="inlineStr">
        <is>
          <t>[LIVE API] Đạt yêu cầu nghiệp vụ - Status: PASS (HTTP 422 - Bắt lỗi thiếu trường reason)</t>
        </is>
      </c>
      <c r="L51" s="25" t="inlineStr">
        <is>
          <t>PASS</t>
        </is>
      </c>
      <c r="M51" s="27" t="inlineStr">
        <is>
          <t>Automation QA / AI Agent</t>
        </is>
      </c>
      <c r="N51" s="26" t="inlineStr">
        <is>
          <t>SCRUM-207: Bắt buộc ghi lý do khoá</t>
        </is>
      </c>
    </row>
    <row r="52" ht="24" customHeight="1" s="19">
      <c r="A52" s="28" t="n">
        <v>50</v>
      </c>
      <c r="B52" s="28" t="inlineStr">
        <is>
          <t>PKG-06</t>
        </is>
      </c>
      <c r="C52" s="28" t="inlineStr">
        <is>
          <t>S1-10</t>
        </is>
      </c>
      <c r="D52" s="28" t="inlineStr">
        <is>
          <t>TC-LOCK-02</t>
        </is>
      </c>
      <c r="E52" s="29" t="inlineStr">
        <is>
          <t>Bảo vệ Admin: Quản trị viên tự khóa tài khoản của chính mình bị từ chối</t>
        </is>
      </c>
      <c r="F52" s="28" t="inlineStr">
        <is>
          <t>Critical</t>
        </is>
      </c>
      <c r="G52" s="28" t="inlineStr">
        <is>
          <t>Security</t>
        </is>
      </c>
      <c r="H52" s="29" t="inlineStr">
        <is>
          <t>POST /api/v1/users/{admin_id}/lock</t>
        </is>
      </c>
      <c r="I52" s="29" t="inlineStr">
        <is>
          <t>{"reason": "Tự khóa thử nghiệm"}</t>
        </is>
      </c>
      <c r="J52" s="29" t="inlineStr">
        <is>
          <t>HTTP 400 Bad Request - 'Không thể tự khóa tài khoản của chính mình.'</t>
        </is>
      </c>
      <c r="K52" s="29" t="inlineStr">
        <is>
          <t>[LIVE API] Đạt yêu cầu nghiệp vụ - Status: PASS (HTTP 400 - Không thể tự khóa tài khoản của chính mình.)</t>
        </is>
      </c>
      <c r="L52" s="28" t="inlineStr">
        <is>
          <t>PASS</t>
        </is>
      </c>
      <c r="M52" s="30" t="inlineStr">
        <is>
          <t>Automation QA / AI Agent</t>
        </is>
      </c>
      <c r="N52" s="29" t="inlineStr">
        <is>
          <t>Chống khóa nhầm tài khoản Admin đang thao tác</t>
        </is>
      </c>
    </row>
    <row r="53" ht="24" customHeight="1" s="19">
      <c r="A53" s="31" t="n">
        <v>51</v>
      </c>
      <c r="B53" s="31" t="inlineStr">
        <is>
          <t>PKG-06</t>
        </is>
      </c>
      <c r="C53" s="31" t="inlineStr">
        <is>
          <t>S1-10</t>
        </is>
      </c>
      <c r="D53" s="31" t="inlineStr">
        <is>
          <t>TC-LOCK-03</t>
        </is>
      </c>
      <c r="E53" s="32" t="inlineStr">
        <is>
          <t>Khóa tài khoản Nhân viên kinh doanh kèm cảnh báo bàn giao đại lý phụ trách</t>
        </is>
      </c>
      <c r="F53" s="31" t="inlineStr">
        <is>
          <t>Critical</t>
        </is>
      </c>
      <c r="G53" s="31" t="inlineStr">
        <is>
          <t>Functional</t>
        </is>
      </c>
      <c r="H53" s="32" t="inlineStr">
        <is>
          <t>POST /api/v1/users/{sales_rep_id}/lock</t>
        </is>
      </c>
      <c r="I53" s="32" t="inlineStr">
        <is>
          <t>{"reason": "Nhân viên nghỉ việc từ tháng 10"}</t>
        </is>
      </c>
      <c r="J53" s="32" t="inlineStr">
        <is>
          <t>HTTP 200 OK - session_revoked=True kèm handover_warning cảnh báo bàn giao đại lý</t>
        </is>
      </c>
      <c r="K53" s="32" t="inlineStr">
        <is>
          <t>[LIVE API] Đạt yêu cầu nghiệp vụ - Status: PASS (HTTP 200 - session_revoked=True, Cảnh báo: CẢNH BÁO: Nhân viên 'TEST_TMP_SALES_REP_LOCK' thuộc bộ phận kinh doanh phụ trách các đại lý địa bàn. Vui lòng phân công bàn giao danh sách khách hàng/đại lý ngay lập tức.)</t>
        </is>
      </c>
      <c r="L53" s="31" t="inlineStr">
        <is>
          <t>PASS</t>
        </is>
      </c>
      <c r="M53" s="33" t="inlineStr">
        <is>
          <t>Automation QA / AI Agent</t>
        </is>
      </c>
      <c r="N53" s="32" t="inlineStr">
        <is>
          <t>SCRUM-207: Đại lý do nhân viên bị khoá phụ trách được cảnh báo cần bàn giao</t>
        </is>
      </c>
    </row>
    <row r="54" ht="24" customHeight="1" s="19">
      <c r="A54" s="34" t="n">
        <v>52</v>
      </c>
      <c r="B54" s="34" t="inlineStr">
        <is>
          <t>PKG-06</t>
        </is>
      </c>
      <c r="C54" s="34" t="inlineStr">
        <is>
          <t>S1-10</t>
        </is>
      </c>
      <c r="D54" s="34" t="inlineStr">
        <is>
          <t>TC-LOCK-04</t>
        </is>
      </c>
      <c r="E54" s="35" t="inlineStr">
        <is>
          <t>Tài khoản bị khóa không thể đăng nhập vào hệ thống</t>
        </is>
      </c>
      <c r="F54" s="34" t="inlineStr">
        <is>
          <t>Critical</t>
        </is>
      </c>
      <c r="G54" s="34" t="inlineStr">
        <is>
          <t>Security</t>
        </is>
      </c>
      <c r="H54" s="35" t="inlineStr">
        <is>
          <t>POST /api/v1/auth/login</t>
        </is>
      </c>
      <c r="I54" s="35" t="inlineStr">
        <is>
          <t>{"username": "TEST_TMP_LOCKED_USER", "password": "Password@123"}</t>
        </is>
      </c>
      <c r="J54" s="35" t="inlineStr">
        <is>
          <t>HTTP 403 Forbidden - 'Tài khoản đã bị vô hiệu hóa. Vui lòng liên hệ quản trị viên.'</t>
        </is>
      </c>
      <c r="K54" s="35" t="inlineStr">
        <is>
          <t>[LIVE API] Đạt yêu cầu nghiệp vụ - Status: PASS (HTTP 403 - Tài khoản đã bị vô hiệu hóa. Vui lòng liên hệ quản trị viên.)</t>
        </is>
      </c>
      <c r="L54" s="34" t="inlineStr">
        <is>
          <t>PASS</t>
        </is>
      </c>
      <c r="M54" s="36" t="inlineStr">
        <is>
          <t>Automation QA / AI Agent</t>
        </is>
      </c>
      <c r="N54" s="35" t="inlineStr">
        <is>
          <t>SCRUM-207: Tài khoản bị khoá không đăng nhập được và bị thu hồi phiên đang mở</t>
        </is>
      </c>
    </row>
    <row r="55" ht="24" customHeight="1" s="19">
      <c r="A55" s="34" t="n">
        <v>53</v>
      </c>
      <c r="B55" s="34" t="inlineStr">
        <is>
          <t>PKG-06</t>
        </is>
      </c>
      <c r="C55" s="34" t="inlineStr">
        <is>
          <t>S1-10</t>
        </is>
      </c>
      <c r="D55" s="34" t="inlineStr">
        <is>
          <t>TC-LOCK-05</t>
        </is>
      </c>
      <c r="E55" s="35" t="inlineStr">
        <is>
          <t>Mở khóa tài khoản đã bị khóa thành công</t>
        </is>
      </c>
      <c r="F55" s="34" t="inlineStr">
        <is>
          <t>High</t>
        </is>
      </c>
      <c r="G55" s="34" t="inlineStr">
        <is>
          <t>Functional</t>
        </is>
      </c>
      <c r="H55" s="35" t="inlineStr">
        <is>
          <t>POST /api/v1/users/{user_id}/unlock</t>
        </is>
      </c>
      <c r="I55" s="35" t="inlineStr">
        <is>
          <t>None</t>
        </is>
      </c>
      <c r="J55" s="35" t="inlineStr">
        <is>
          <t>HTTP 200 OK - 'Tài khoản... đã được mở khóa thành công.'</t>
        </is>
      </c>
      <c r="K55" s="35" t="inlineStr">
        <is>
          <t>[LIVE API] Đạt yêu cầu nghiệp vụ - Status: PASS (HTTP 200 - Tài khoản 'TEST_TMP_SALES_REP_LOCK' đã được mở khóa thành công.)</t>
        </is>
      </c>
      <c r="L55" s="34" t="inlineStr">
        <is>
          <t>PASS</t>
        </is>
      </c>
      <c r="M55" s="36" t="inlineStr">
        <is>
          <t>Automation QA / AI Agent</t>
        </is>
      </c>
      <c r="N55" s="35" t="inlineStr">
        <is>
          <t>Khôi phục trạng thái hoạt động is_active=True</t>
        </is>
      </c>
    </row>
    <row r="56" ht="24" customHeight="1" s="19">
      <c r="A56" s="34" t="n">
        <v>54</v>
      </c>
      <c r="B56" s="34" t="inlineStr">
        <is>
          <t>PKG-06</t>
        </is>
      </c>
      <c r="C56" s="34" t="inlineStr">
        <is>
          <t>S1-10</t>
        </is>
      </c>
      <c r="D56" s="34" t="inlineStr">
        <is>
          <t>TC-LOCK-06</t>
        </is>
      </c>
      <c r="E56" s="35" t="inlineStr">
        <is>
          <t>Tài khoản đăng nhập lại bình thường sau khi được mở khóa</t>
        </is>
      </c>
      <c r="F56" s="34" t="inlineStr">
        <is>
          <t>High</t>
        </is>
      </c>
      <c r="G56" s="34" t="inlineStr">
        <is>
          <t>Functional</t>
        </is>
      </c>
      <c r="H56" s="35" t="inlineStr">
        <is>
          <t>POST /api/v1/auth/login</t>
        </is>
      </c>
      <c r="I56" s="35" t="inlineStr">
        <is>
          <t>{"username": "TEST_TMP_UNLOCKED_USER", "password": "Password@123"}</t>
        </is>
      </c>
      <c r="J56" s="35" t="inlineStr">
        <is>
          <t>HTTP 200 OK - Đăng nhập thành công và cấp access_token mới</t>
        </is>
      </c>
      <c r="K56" s="35" t="inlineStr">
        <is>
          <t>[LIVE API] Đạt yêu cầu nghiệp vụ - Status: PASS (HTTP 200 - Đăng nhập lại thành công sau khi mở khóa)</t>
        </is>
      </c>
      <c r="L56" s="34" t="inlineStr">
        <is>
          <t>PASS</t>
        </is>
      </c>
      <c r="M56" s="36" t="inlineStr">
        <is>
          <t>Automation QA / AI Agent</t>
        </is>
      </c>
      <c r="N56" s="35" t="inlineStr">
        <is>
          <t>Hoàn tất chu trình khóa và mở khóa tài khoản</t>
        </is>
      </c>
    </row>
  </sheetData>
  <conditionalFormatting sqref="L3:L1000">
    <cfRule type="cellIs" priority="1" operator="equal" dxfId="3">
      <formula>"PASS"</formula>
    </cfRule>
    <cfRule type="cellIs" priority="2" operator="equal" dxfId="2">
      <formula>"FAIL"</formula>
    </cfRule>
    <cfRule type="cellIs" priority="3" operator="equal" dxfId="1">
      <formula>"BLOCKED"</formula>
    </cfRule>
    <cfRule type="cellIs" priority="4" operator="equal" dxfId="0">
      <formula>"NOT RUN"</formula>
    </cfRule>
  </conditionalFormatting>
  <dataValidations count="3">
    <dataValidation sqref="F3:F1000" showDropDown="0" showInputMessage="0" showErrorMessage="0" allowBlank="1" promptTitle="Mức Ưu Tiên" prompt="Chọn mức độ ưu tiên từ danh sách" type="list">
      <formula1>"Critical,High,Medium,Low"</formula1>
    </dataValidation>
    <dataValidation sqref="G3:G1000" showDropDown="0" showInputMessage="0" showErrorMessage="0" allowBlank="1" promptTitle="Loại Test" prompt="Chọn loại kiểm thử" type="list">
      <formula1>"Validation,Security,Functional,Database,Business,Schema"</formula1>
    </dataValidation>
    <dataValidation sqref="L3:L1000" showDropDown="0" showInputMessage="0" showErrorMessage="0" allowBlank="1" errorTitle="Sai Trạng Thái" error="Trạng thái bắt buộc phải là: PASS, FAIL, BLOCKED hoặc NOT RUN" promptTitle="Trạng Thái Kiểm Thử" prompt="Chọn kết quả test: PASS, FAIL, BLOCKED hoặc NOT RUN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2026-09-29T10:07:12Z</dcterms:created>
  <dcterms:modified xsi:type="dcterms:W3CDTF">2026-10-06T13:42:47Z</dcterms:modified>
  <cp:lastModifiedBy>Lê An</cp:lastModifiedBy>
</cp:coreProperties>
</file>